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s" sheetId="1" state="visible" r:id="rId1"/>
    <sheet xmlns:r="http://schemas.openxmlformats.org/officeDocument/2006/relationships" name="Matched Pairs" sheetId="2" state="visible" r:id="rId2"/>
    <sheet xmlns:r="http://schemas.openxmlformats.org/officeDocument/2006/relationships" name="Markdown" sheetId="3" state="visible" r:id="rId3"/>
    <sheet xmlns:r="http://schemas.openxmlformats.org/officeDocument/2006/relationships" name="Resal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dd\-mmm\-yy"/>
    <numFmt numFmtId="167" formatCode="mm/dd/yy"/>
    <numFmt numFmtId="168" formatCode="&quot;$&quot;#,##0.00"/>
  </numFmts>
  <fonts count="40">
    <font>
      <name val="Calibri"/>
      <color theme="1"/>
      <sz val="11"/>
      <scheme val="minor"/>
    </font>
    <font>
      <name val="Arial"/>
      <b val="1"/>
      <color rgb="FFFFFFFF"/>
      <sz val="12"/>
    </font>
    <font/>
    <font>
      <name val="Arial"/>
      <b val="1"/>
      <color rgb="FFFFFFFF"/>
      <sz val="9"/>
    </font>
    <font>
      <name val="Arial"/>
      <color rgb="FF1C1B18"/>
      <sz val="10"/>
    </font>
    <font>
      <name val="Arial"/>
      <color rgb="FF0000FF"/>
      <sz val="10"/>
    </font>
    <font>
      <name val="Arial"/>
      <color rgb="FF0563C1"/>
      <sz val="9"/>
      <u val="single"/>
    </font>
    <font>
      <name val="Arial"/>
      <color rgb="FF0563C1"/>
      <sz val="9"/>
      <u val="single"/>
    </font>
    <font>
      <name val="Arial"/>
      <color rgb="FF0000FF"/>
      <sz val="9"/>
      <u val="single"/>
    </font>
    <font>
      <name val="Arial"/>
      <color rgb="FF1F1F1F"/>
      <sz val="9"/>
      <u val="single"/>
    </font>
    <font>
      <name val="Arial"/>
      <color rgb="FF0000FF"/>
    </font>
    <font>
      <name val="Arial"/>
      <color rgb="FF0563C1"/>
      <sz val="9"/>
      <u val="single"/>
    </font>
    <font>
      <name val="Arial"/>
      <color rgb="FF0000FF"/>
      <sz val="9"/>
      <u val="single"/>
    </font>
    <font>
      <name val="Arial"/>
      <color rgb="FF0563C1"/>
      <sz val="9"/>
      <u val="single"/>
    </font>
    <font>
      <name val="Arial"/>
      <b val="1"/>
      <color rgb="FF1A3A5C"/>
    </font>
    <font>
      <name val="Cambria"/>
      <color rgb="FF0000FF"/>
      <sz val="11"/>
    </font>
    <font>
      <name val="Cambria"/>
      <color rgb="FF1C1B18"/>
      <sz val="11"/>
    </font>
    <font>
      <name val="Arial"/>
      <color rgb="FF0563C1"/>
      <sz val="9"/>
      <u val="single"/>
    </font>
    <font>
      <name val="Calibri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color theme="1"/>
    </font>
    <font>
      <name val="Arial"/>
      <color rgb="FF0563C1"/>
      <sz val="9"/>
      <u val="single"/>
    </font>
    <font>
      <name val="Arial"/>
      <color theme="1"/>
      <sz val="9"/>
    </font>
    <font>
      <name val="Arial"/>
      <color rgb="FF0563C1"/>
      <sz val="9"/>
      <u val="single"/>
    </font>
    <font>
      <name val="Arial"/>
      <color rgb="FF0000FF"/>
      <sz val="9"/>
      <u val="single"/>
    </font>
    <font>
      <name val="Arial"/>
      <color rgb="FF000000"/>
      <sz val="10"/>
    </font>
    <font>
      <name val="Arial"/>
      <color rgb="FF0563C1"/>
      <sz val="9"/>
      <u val="single"/>
    </font>
    <font>
      <name val="Arial"/>
      <b val="1"/>
      <color rgb="FFFFFFFF"/>
      <sz val="14"/>
    </font>
    <font>
      <name val="Arial"/>
      <i val="1"/>
      <color rgb="FF888880"/>
      <sz val="10"/>
    </font>
    <font>
      <name val="Arial"/>
      <i val="1"/>
      <color rgb="FFFFFFFF"/>
      <sz val="10"/>
    </font>
    <font>
      <name val="Arial"/>
      <b val="1"/>
      <color rgb="FF2D5A3D"/>
      <sz val="20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1C1B18"/>
      <sz val="10"/>
    </font>
    <font>
      <name val="Arial"/>
      <color rgb="FF1C1B18"/>
      <sz val="9"/>
    </font>
    <font>
      <name val="Arial"/>
      <b val="1"/>
      <color rgb="FF2D5A3D"/>
      <sz val="14"/>
    </font>
    <font>
      <name val="Arial"/>
      <b val="1"/>
      <color rgb="FF1C1B18"/>
      <sz val="9"/>
    </font>
  </fonts>
  <fills count="14">
    <fill>
      <patternFill/>
    </fill>
    <fill>
      <patternFill patternType="lightGray"/>
    </fill>
    <fill>
      <patternFill patternType="solid">
        <fgColor rgb="FF1C1B18"/>
        <bgColor rgb="FF1C1B18"/>
      </patternFill>
    </fill>
    <fill>
      <patternFill patternType="solid">
        <fgColor rgb="FF2D5A3D"/>
        <bgColor rgb="FF2D5A3D"/>
      </patternFill>
    </fill>
    <fill>
      <patternFill patternType="solid">
        <fgColor rgb="FF1A3A5C"/>
        <bgColor rgb="FF1A3A5C"/>
      </patternFill>
    </fill>
    <fill>
      <patternFill patternType="solid">
        <fgColor rgb="FFF5F3EE"/>
        <bgColor rgb="FFF5F3EE"/>
      </patternFill>
    </fill>
    <fill>
      <patternFill patternType="solid">
        <fgColor rgb="FFFFFFFF"/>
        <bgColor rgb="FFFFFFFF"/>
      </patternFill>
    </fill>
    <fill>
      <patternFill patternType="solid">
        <fgColor rgb="FFEEF4FC"/>
        <bgColor rgb="FFEEF4FC"/>
      </patternFill>
    </fill>
    <fill>
      <patternFill patternType="solid">
        <fgColor rgb="FFDEEAF8"/>
        <bgColor rgb="FFDEEAF8"/>
      </patternFill>
    </fill>
    <fill>
      <patternFill patternType="solid">
        <fgColor rgb="FFFF9900"/>
        <bgColor rgb="FFFF9900"/>
      </patternFill>
    </fill>
    <fill>
      <patternFill patternType="solid">
        <fgColor rgb="FFEAF3DE"/>
        <bgColor rgb="FFEAF3DE"/>
      </patternFill>
    </fill>
    <fill>
      <patternFill patternType="solid">
        <fgColor rgb="FFF0FAF0"/>
        <bgColor rgb="FFF0FAF0"/>
      </patternFill>
    </fill>
    <fill>
      <patternFill patternType="solid">
        <fgColor rgb="FF8A5C00"/>
        <bgColor rgb="FF8A5C00"/>
      </patternFill>
    </fill>
    <fill>
      <patternFill patternType="solid">
        <fgColor rgb="FFFDF0D0"/>
        <bgColor rgb="FFFDF0D0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C5C0B5"/>
      </left>
      <right style="thin">
        <color rgb="FFC5C0B5"/>
      </right>
      <top style="thin">
        <color rgb="FFC5C0B5"/>
      </top>
      <bottom style="thin">
        <color rgb="FFC5C0B5"/>
      </bottom>
    </border>
    <border>
      <left style="thin">
        <color rgb="FFC5C0B5"/>
      </left>
      <top style="thin">
        <color rgb="FFC5C0B5"/>
      </top>
      <bottom style="thin">
        <color rgb="FFC5C0B5"/>
      </bottom>
    </border>
    <border>
      <left style="thin">
        <color rgb="FF000000"/>
      </left>
      <right style="thin">
        <color rgb="FFC5C0B5"/>
      </right>
      <top style="thin">
        <color rgb="FFC5C0B5"/>
      </top>
      <bottom style="thin">
        <color rgb="FFC5C0B5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C5C0B5"/>
      </left>
      <right style="thin">
        <color rgb="FFC5C0B5"/>
      </right>
      <bottom style="thin">
        <color rgb="FFC5C0B5"/>
      </bottom>
    </border>
    <border>
      <top style="thin">
        <color rgb="FFC5C0B5"/>
      </top>
      <bottom style="thin">
        <color rgb="FFC5C0B5"/>
      </bottom>
    </border>
    <border>
      <right/>
      <top style="thin">
        <color rgb="FFC5C0B5"/>
      </top>
      <bottom style="thin">
        <color rgb="FFC5C0B5"/>
      </bottom>
    </border>
    <border>
      <right style="thin">
        <color rgb="FFC5C0B5"/>
      </right>
      <top style="thin">
        <color rgb="FFC5C0B5"/>
      </top>
      <bottom style="thin">
        <color rgb="FFC5C0B5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C5C0B5"/>
      </left>
      <right/>
      <top style="thin">
        <color rgb="FFC5C0B5"/>
      </top>
      <bottom style="thin">
        <color rgb="FFC5C0B5"/>
      </bottom>
    </border>
    <border>
      <top style="thin">
        <color rgb="FFC5C0B5"/>
      </top>
    </border>
    <border>
      <right style="thin">
        <color rgb="FFC5C0B5"/>
      </right>
      <top style="thin">
        <color rgb="FFC5C0B5"/>
      </top>
    </border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164" fontId="5" fillId="6" borderId="4" applyAlignment="1" pivotButton="0" quotePrefix="0" xfId="0">
      <alignment horizontal="left" vertical="center" wrapText="1"/>
    </xf>
    <xf numFmtId="165" fontId="4" fillId="6" borderId="4" applyAlignment="1" pivotButton="0" quotePrefix="0" xfId="0">
      <alignment horizontal="center" vertical="center" wrapText="1"/>
    </xf>
    <xf numFmtId="164" fontId="5" fillId="6" borderId="4" applyAlignment="1" pivotButton="0" quotePrefix="0" xfId="0">
      <alignment horizontal="left" vertical="center" wrapText="1"/>
    </xf>
    <xf numFmtId="165" fontId="4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center" vertical="center" wrapText="1"/>
    </xf>
    <xf numFmtId="10" fontId="4" fillId="6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/>
    </xf>
    <xf numFmtId="164" fontId="10" fillId="7" borderId="4" applyAlignment="1" pivotButton="0" quotePrefix="0" xfId="0">
      <alignment horizontal="left"/>
    </xf>
    <xf numFmtId="165" fontId="10" fillId="7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0" fontId="14" fillId="8" borderId="4" applyAlignment="1" pivotButton="0" quotePrefix="0" xfId="0">
      <alignment horizontal="center"/>
    </xf>
    <xf numFmtId="164" fontId="15" fillId="7" borderId="4" applyAlignment="1" pivotButton="0" quotePrefix="0" xfId="0">
      <alignment horizontal="left"/>
    </xf>
    <xf numFmtId="165" fontId="16" fillId="7" borderId="4" applyAlignment="1" pivotButton="0" quotePrefix="0" xfId="0">
      <alignment horizontal="center"/>
    </xf>
    <xf numFmtId="0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8" fillId="0" borderId="0" pivotButton="0" quotePrefix="0" xfId="0"/>
    <xf numFmtId="0" fontId="4" fillId="9" borderId="4" applyAlignment="1" pivotButton="0" quotePrefix="0" xfId="0">
      <alignment horizontal="center" vertical="center" wrapText="1"/>
    </xf>
    <xf numFmtId="164" fontId="4" fillId="10" borderId="4" applyAlignment="1" pivotButton="0" quotePrefix="0" xfId="0">
      <alignment horizontal="center" vertical="center" wrapText="1"/>
    </xf>
    <xf numFmtId="164" fontId="4" fillId="8" borderId="4" applyAlignment="1" pivotButton="0" quotePrefix="0" xfId="0">
      <alignment horizontal="center" vertical="center" wrapText="1"/>
    </xf>
    <xf numFmtId="164" fontId="4" fillId="6" borderId="4" applyAlignment="1" pivotButton="0" quotePrefix="0" xfId="0">
      <alignment horizontal="center" vertical="center" wrapText="1"/>
    </xf>
    <xf numFmtId="0" fontId="19" fillId="11" borderId="0" pivotButton="0" quotePrefix="0" xfId="0"/>
    <xf numFmtId="0" fontId="20" fillId="8" borderId="0" pivotButton="0" quotePrefix="0" xfId="0"/>
    <xf numFmtId="0" fontId="21" fillId="0" borderId="0" pivotButton="0" quotePrefix="0" xfId="0"/>
    <xf numFmtId="0" fontId="4" fillId="9" borderId="4" applyAlignment="1" pivotButton="0" quotePrefix="0" xfId="0">
      <alignment horizontal="center" vertical="center" wrapText="1"/>
    </xf>
    <xf numFmtId="0" fontId="22" fillId="0" borderId="0" pivotButton="0" quotePrefix="0" xfId="0"/>
    <xf numFmtId="164" fontId="4" fillId="1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164" fontId="4" fillId="6" borderId="5" applyAlignment="1" pivotButton="0" quotePrefix="0" xfId="0">
      <alignment horizontal="center" vertical="center" wrapText="1"/>
    </xf>
    <xf numFmtId="165" fontId="4" fillId="6" borderId="6" applyAlignment="1" pivotButton="0" quotePrefix="0" xfId="0">
      <alignment horizontal="center" vertical="center" wrapText="1"/>
    </xf>
    <xf numFmtId="164" fontId="5" fillId="10" borderId="4" applyAlignment="1" pivotButton="0" quotePrefix="0" xfId="0">
      <alignment horizontal="left" vertical="center" wrapText="1"/>
    </xf>
    <xf numFmtId="165" fontId="4" fillId="10" borderId="4" applyAlignment="1" pivotButton="0" quotePrefix="0" xfId="0">
      <alignment horizontal="center" vertical="center" wrapText="1"/>
    </xf>
    <xf numFmtId="164" fontId="5" fillId="8" borderId="4" applyAlignment="1" pivotButton="0" quotePrefix="0" xfId="0">
      <alignment horizontal="left" vertical="center" wrapText="1"/>
    </xf>
    <xf numFmtId="165" fontId="4" fillId="8" borderId="4" applyAlignment="1" pivotButton="0" quotePrefix="0" xfId="0">
      <alignment horizontal="center" vertical="center" wrapText="1"/>
    </xf>
    <xf numFmtId="164" fontId="5" fillId="10" borderId="4" applyAlignment="1" pivotButton="0" quotePrefix="0" xfId="0">
      <alignment horizontal="left" vertical="center" wrapText="1"/>
    </xf>
    <xf numFmtId="164" fontId="5" fillId="8" borderId="4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23" fillId="6" borderId="4" applyAlignment="1" pivotButton="0" quotePrefix="0" xfId="0">
      <alignment horizontal="center"/>
    </xf>
    <xf numFmtId="164" fontId="10" fillId="6" borderId="4" applyAlignment="1" pivotButton="0" quotePrefix="0" xfId="0">
      <alignment horizontal="left"/>
    </xf>
    <xf numFmtId="164" fontId="10" fillId="6" borderId="10" applyAlignment="1" pivotButton="0" quotePrefix="0" xfId="0">
      <alignment horizontal="left"/>
    </xf>
    <xf numFmtId="166" fontId="5" fillId="6" borderId="4" applyAlignment="1" pivotButton="0" quotePrefix="0" xfId="0">
      <alignment horizontal="left" vertical="center" wrapText="1"/>
    </xf>
    <xf numFmtId="0" fontId="24" fillId="0" borderId="4" applyAlignment="1" pivotButton="0" quotePrefix="0" xfId="0">
      <alignment horizontal="left"/>
    </xf>
    <xf numFmtId="0" fontId="23" fillId="6" borderId="10" applyAlignment="1" pivotButton="0" quotePrefix="0" xfId="0">
      <alignment horizontal="center"/>
    </xf>
    <xf numFmtId="166" fontId="5" fillId="6" borderId="4" applyAlignment="1" pivotButton="0" quotePrefix="0" xfId="0">
      <alignment horizontal="left" vertical="center" wrapText="1"/>
    </xf>
    <xf numFmtId="0" fontId="25" fillId="0" borderId="10" applyAlignment="1" pivotButton="0" quotePrefix="0" xfId="0">
      <alignment horizontal="left"/>
    </xf>
    <xf numFmtId="0" fontId="25" fillId="0" borderId="10" applyAlignment="1" pivotButton="0" quotePrefix="0" xfId="0">
      <alignment horizontal="left"/>
    </xf>
    <xf numFmtId="0" fontId="26" fillId="0" borderId="10" applyAlignment="1" pivotButton="0" quotePrefix="0" xfId="0">
      <alignment horizontal="left"/>
    </xf>
    <xf numFmtId="167" fontId="5" fillId="6" borderId="4" applyAlignment="1" pivotButton="0" quotePrefix="0" xfId="0">
      <alignment horizontal="left" vertical="center" wrapText="1"/>
    </xf>
    <xf numFmtId="0" fontId="27" fillId="0" borderId="10" applyAlignment="1" pivotButton="0" quotePrefix="0" xfId="0">
      <alignment horizontal="left"/>
    </xf>
    <xf numFmtId="0" fontId="23" fillId="0" borderId="10" pivotButton="0" quotePrefix="0" xfId="0"/>
    <xf numFmtId="165" fontId="28" fillId="6" borderId="4" applyAlignment="1" pivotButton="0" quotePrefix="0" xfId="0">
      <alignment horizontal="center" vertical="center" wrapText="1"/>
    </xf>
    <xf numFmtId="168" fontId="5" fillId="6" borderId="4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/>
    </xf>
    <xf numFmtId="0" fontId="29" fillId="0" borderId="10" applyAlignment="1" pivotButton="0" quotePrefix="0" xfId="0">
      <alignment horizontal="left"/>
    </xf>
    <xf numFmtId="0" fontId="30" fillId="2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33" fillId="10" borderId="4" applyAlignment="1" pivotButton="0" quotePrefix="0" xfId="0">
      <alignment horizontal="center" vertical="center" wrapText="1"/>
    </xf>
    <xf numFmtId="165" fontId="33" fillId="10" borderId="4" applyAlignment="1" pivotButton="0" quotePrefix="0" xfId="0">
      <alignment horizontal="center" vertical="center" wrapText="1"/>
    </xf>
    <xf numFmtId="0" fontId="34" fillId="3" borderId="5" applyAlignment="1" pivotButton="0" quotePrefix="0" xfId="0">
      <alignment horizontal="center" vertical="center" wrapText="1"/>
    </xf>
    <xf numFmtId="0" fontId="2" fillId="0" borderId="11" pivotButton="0" quotePrefix="0" xfId="0"/>
    <xf numFmtId="0" fontId="2" fillId="0" borderId="12" pivotButton="0" quotePrefix="0" xfId="0"/>
    <xf numFmtId="0" fontId="35" fillId="2" borderId="5" applyAlignment="1" pivotButton="0" quotePrefix="0" xfId="0">
      <alignment horizontal="center" vertical="center" wrapText="1"/>
    </xf>
    <xf numFmtId="0" fontId="36" fillId="5" borderId="5" applyAlignment="1" pivotButton="0" quotePrefix="0" xfId="0">
      <alignment horizontal="left" vertical="center" wrapText="1"/>
    </xf>
    <xf numFmtId="0" fontId="2" fillId="0" borderId="13" pivotButton="0" quotePrefix="0" xfId="0"/>
    <xf numFmtId="0" fontId="37" fillId="6" borderId="5" applyAlignment="1" pivotButton="0" quotePrefix="0" xfId="0">
      <alignment horizontal="left" vertical="center" wrapText="1"/>
    </xf>
    <xf numFmtId="165" fontId="38" fillId="10" borderId="5" applyAlignment="1" pivotButton="0" quotePrefix="0" xfId="0">
      <alignment horizontal="center" vertical="center" wrapText="1"/>
    </xf>
    <xf numFmtId="0" fontId="35" fillId="12" borderId="5" applyAlignment="1" pivotButton="0" quotePrefix="0" xfId="0">
      <alignment horizontal="center" vertical="center" wrapText="1"/>
    </xf>
    <xf numFmtId="0" fontId="39" fillId="13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30" fillId="2" borderId="14" applyAlignment="1" pivotButton="0" quotePrefix="0" xfId="0">
      <alignment horizontal="center" vertical="center" wrapText="1"/>
    </xf>
    <xf numFmtId="0" fontId="31" fillId="5" borderId="14" applyAlignment="1" pivotButton="0" quotePrefix="0" xfId="0">
      <alignment horizontal="center" vertical="center" wrapText="1"/>
    </xf>
    <xf numFmtId="0" fontId="32" fillId="3" borderId="14" applyAlignment="1" pivotButton="0" quotePrefix="0" xfId="0">
      <alignment horizontal="center" vertical="center" wrapText="1"/>
    </xf>
    <xf numFmtId="0" fontId="34" fillId="3" borderId="17" applyAlignment="1" pivotButton="0" quotePrefix="0" xfId="0">
      <alignment horizontal="center" vertical="center" wrapText="1"/>
    </xf>
    <xf numFmtId="0" fontId="0" fillId="0" borderId="11" pivotButton="0" quotePrefix="0" xfId="0"/>
    <xf numFmtId="0" fontId="35" fillId="2" borderId="17" applyAlignment="1" pivotButton="0" quotePrefix="0" xfId="0">
      <alignment horizontal="center" vertical="center" wrapText="1"/>
    </xf>
    <xf numFmtId="0" fontId="36" fillId="5" borderId="4" applyAlignment="1" pivotButton="0" quotePrefix="0" xfId="0">
      <alignment horizontal="left" vertical="center" wrapText="1"/>
    </xf>
    <xf numFmtId="0" fontId="0" fillId="0" borderId="13" pivotButton="0" quotePrefix="0" xfId="0"/>
    <xf numFmtId="0" fontId="37" fillId="6" borderId="4" applyAlignment="1" pivotButton="0" quotePrefix="0" xfId="0">
      <alignment horizontal="left" vertical="center" wrapText="1"/>
    </xf>
    <xf numFmtId="165" fontId="38" fillId="10" borderId="4" applyAlignment="1" pivotButton="0" quotePrefix="0" xfId="0">
      <alignment horizontal="center" vertical="center" wrapText="1"/>
    </xf>
    <xf numFmtId="0" fontId="35" fillId="12" borderId="17" applyAlignment="1" pivotButton="0" quotePrefix="0" xfId="0">
      <alignment horizontal="center" vertical="center" wrapText="1"/>
    </xf>
    <xf numFmtId="0" fontId="39" fillId="13" borderId="4" applyAlignment="1" pivotButton="0" quotePrefix="0" xfId="0">
      <alignment horizontal="left" vertical="center" wrapText="1"/>
    </xf>
  </cellXfs>
  <cellStyles count="1">
    <cellStyle name="Normal" xfId="0" builtinId="0"/>
  </cellStyles>
  <dxfs count="6">
    <dxf>
      <font/>
      <fill>
        <patternFill patternType="solid">
          <fgColor rgb="FFF0FAF0"/>
          <bgColor rgb="FFF0FAF0"/>
        </patternFill>
      </fill>
      <border/>
    </dxf>
    <dxf>
      <font/>
      <fill>
        <patternFill patternType="solid">
          <fgColor rgb="FFEEF4FC"/>
          <bgColor rgb="FFEEF4FC"/>
        </patternFill>
      </fill>
      <border/>
    </dxf>
    <dxf>
      <font>
        <name val="Arial"/>
        <b val="1"/>
        <color rgb="FF2D5A3D"/>
        <sz val="10"/>
      </font>
      <fill>
        <patternFill patternType="solid">
          <fgColor rgb="FFEAF3DE"/>
          <bgColor rgb="FFEAF3DE"/>
        </patternFill>
      </fill>
      <border/>
    </dxf>
    <dxf>
      <font>
        <name val="Arial"/>
        <b val="1"/>
        <color rgb="FF1A3A5C"/>
        <sz val="10"/>
      </font>
      <fill>
        <patternFill patternType="solid">
          <fgColor rgb="FFDEEAF8"/>
          <bgColor rgb="FFDEEAF8"/>
        </patternFill>
      </fill>
      <border/>
    </dxf>
    <dxf>
      <font>
        <name val="Arial"/>
        <b val="1"/>
        <color rgb="FF2D5A3D"/>
      </font>
      <fill>
        <patternFill patternType="solid">
          <fgColor rgb="FFEAF3DE"/>
          <bgColor rgb="FFEAF3DE"/>
        </patternFill>
      </fill>
      <border/>
    </dxf>
    <dxf>
      <font>
        <name val="Arial"/>
        <b val="1"/>
        <color rgb="FF8A2020"/>
      </font>
      <fill>
        <patternFill patternType="solid">
          <fgColor rgb="FFFDE8E8"/>
          <bgColor rgb="FFFDE8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hop.mango.com/us/en/p/women/coats/coats/manteco-wool-coat-with-belt_27011306?s=20&amp;srsltid=AfmBOophh-hNVSgGynGZWotRf7pi8sa4NfhC8GHvuNy-RLQVJeHZNiGsHtk" TargetMode="External" Id="rId1"/><Relationship Type="http://schemas.openxmlformats.org/officeDocument/2006/relationships/hyperlink" Target="https://www.selected.com/it-it/p/cappotto-in-misto-lana/16098258_Delicioso" TargetMode="External" Id="rId2"/><Relationship Type="http://schemas.openxmlformats.org/officeDocument/2006/relationships/hyperlink" Target="https://www.revolve.com/eaves-yaron-manteco-wool-coat-in-light-grey/dp/EAVR-WO139/?d=F&amp;tCurrency=USD&amp;tCountryCode=US&amp;tCurrency=USD&amp;tCountryCode=US&amp;deeplink=true&amp;utm_source=google&amp;utm_medium=cpc&amp;utm_campaign=PMax:+Product+Listing+Ads+-+PLA+-+Owned+Brands&amp;gclsrc=aw.ds&amp;gad_source=1&amp;gad_campaignid=21247993676&amp;gbraid=0AAAAAD9qhJissu2DylkCPd5PipPVYsRyp&amp;gclid=Cj0KCQjwj47OBhCmARIsAF5wUEFhLB712EGV_Y-nwUBdthsbuj-B6UOgV_N2rKHTBzAQsnewyb4F4jgaAnaHEALw_wcB" TargetMode="External" Id="rId3"/><Relationship Type="http://schemas.openxmlformats.org/officeDocument/2006/relationships/hyperlink" Target="https://www.revolve.com/eaves-x-coco-oak-manteco-wool-blazer-jacket-in-dark-grey/dp/EAVR-WO183/?d=F&amp;tCurrency=USD&amp;tCountryCode=US&amp;tCurrency=USD&amp;tCountryCode=US&amp;deeplink=true&amp;utm_source=google&amp;utm_medium=cpc&amp;utm_campaign=Product+Listing+Ads+-+PMAX+-+Zombies&amp;gclsrc=aw.ds&amp;gad_source=1&amp;gad_campaignid=20232795775&amp;gbraid=0AAAAAD9qhJjEotflWpZQoQm6Gd6h5g9Hj&amp;gclid=Cj0KCQjwj47OBhCmARIsAF5wUEEtPHwVvPzIv9QjjiUjMvE4DZrhnwfmTbq37rJT-icLtxXihLBiwR4aApvnEALw_wcB" TargetMode="External" Id="rId4"/><Relationship Type="http://schemas.openxmlformats.org/officeDocument/2006/relationships/hyperlink" Target="https://shop.mango.com/gh/en/p/women/coats/coats/manteco-wool-coat-with-fur-collar_27031309" TargetMode="External" Id="rId5"/><Relationship Type="http://schemas.openxmlformats.org/officeDocument/2006/relationships/hyperlink" Target="https://shop.mango.com/us/en/p/women/coats/coats/manteco-wool-coat-with-lapels_17016360?s=21&amp;srsltid=AfmBOoqU_n1U9wZwRw-7PFSW3U7GOHA64XNR6QmQ2CtE4GE3U5R8iTd0B54" TargetMode="External" Id="rId6"/><Relationship Type="http://schemas.openxmlformats.org/officeDocument/2006/relationships/hyperlink" Target="https://www.nordstrom.com/s/scotland-classic-manteco-wool-jacket/8858632?color=Blue&amp;size=Regular-54+eu&amp;country=US&amp;currency=USD&amp;utm_source=google&amp;utm_medium=organic&amp;utm_campaign=seo_shopping&amp;utm_channel=low_nd_seo_shopping&amp;srsltid=AfmBOoqDdjRb2KnUZzIyiojApqfsoyoTwUkqz09_Ns4Cg9ZikTsW8R32whY" TargetMode="External" Id="rId7"/><Relationship Type="http://schemas.openxmlformats.org/officeDocument/2006/relationships/hyperlink" Target="https://shop.mango.com/us/en/p/men/coats/coats/manteco-wool-coat-with-lapels_27061172?s=23&amp;srsltid=AfmBOopLb77GpDXg0uY2klNkf9_KcmgC6ZscAQi_q6H5O2aZWPe2PeOJkE8" TargetMode="External" Id="rId8"/><Relationship Type="http://schemas.openxmlformats.org/officeDocument/2006/relationships/hyperlink" Target="https://www.zara.com/us/en/straight-coat-with-manteco-wool-zw-collection-p02046894.html" TargetMode="External" Id="rId9"/><Relationship Type="http://schemas.openxmlformats.org/officeDocument/2006/relationships/hyperlink" Target="https://www.zara.com/us/en/zw-collection-short-wool-coat-p07522244.html" TargetMode="External" Id="rId10"/><Relationship Type="http://schemas.openxmlformats.org/officeDocument/2006/relationships/hyperlink" Target="https://www.zara.com/us/en/manteco--origins-water-repellent-trench-coat-p04058500.html" TargetMode="External" Id="rId11"/><Relationship Type="http://schemas.openxmlformats.org/officeDocument/2006/relationships/hyperlink" Target="https://www.zara.com/it/it/parka-tecnica-con-gilet-removibile-p03918248.html?v1=503348479" TargetMode="External" Id="rId12"/><Relationship Type="http://schemas.openxmlformats.org/officeDocument/2006/relationships/hyperlink" Target="https://shop.mango.com/it/it/p/uomo/cappotti/cappotti/cappotto-lana-spigato_27071171" TargetMode="External" Id="rId13"/><Relationship Type="http://schemas.openxmlformats.org/officeDocument/2006/relationships/hyperlink" Target="https://shop.mango.com/us/en/p/women/coats/coats/woollen-coat-with-belt_27044438" TargetMode="External" Id="rId14"/><Relationship Type="http://schemas.openxmlformats.org/officeDocument/2006/relationships/hyperlink" Target="https://www.woolrich.com/us/en/2-in-1-sideline-parka-in-manteco-recycled-wool-blend-CFWWOU0944FRUT3492_7391.html" TargetMode="External" Id="rId15"/><Relationship Type="http://schemas.openxmlformats.org/officeDocument/2006/relationships/hyperlink" Target="https://www.woolrich.com/it/it/giacca-a-camicia-in-misto-lana-con-motivo-a-quadri-CFWOOS2021MRUT5178_8914.html" TargetMode="External" Id="rId16"/><Relationship Type="http://schemas.openxmlformats.org/officeDocument/2006/relationships/hyperlink" Target="https://www.karenmillen.com/product/karen-millen-italian-manteco-wool-stitch-detail-trench-midi-coat_bkk13707?utm_source=&amp;colour=black" TargetMode="External" Id="rId17"/><Relationship Type="http://schemas.openxmlformats.org/officeDocument/2006/relationships/hyperlink" Target="https://www.karenmillen.com/us/product/karen-millen-italian-wool-double-breasted-military-midi-coat_bkk21259?colour=camel" TargetMode="External" Id="rId18"/><Relationship Type="http://schemas.openxmlformats.org/officeDocument/2006/relationships/hyperlink" Target="https://www.zara.com/us/en/manteco-wool-coat-zw-collection-limited-edition-p02100762.html" TargetMode="External" Id="rId19"/><Relationship Type="http://schemas.openxmlformats.org/officeDocument/2006/relationships/hyperlink" Target="https://www.zara.com/it/it/cappotto-doppiopetto-misto-lana-con-cintura-p02949150.html?v1=497563430&amp;v2=2436891" TargetMode="External" Id="rId20"/><Relationship Type="http://schemas.openxmlformats.org/officeDocument/2006/relationships/hyperlink" Target="https://www.harrods.com/en-it/p/samsoe-samsoe-wool-blend-overcoat-000000000007888237" TargetMode="External" Id="rId21"/><Relationship Type="http://schemas.openxmlformats.org/officeDocument/2006/relationships/hyperlink" Target="https://www.farfetch.com/ro/shopping/women/toteme-double-breasted-wool-coat-item-32435140.aspx" TargetMode="External" Id="rId22"/><Relationship Type="http://schemas.openxmlformats.org/officeDocument/2006/relationships/hyperlink" Target="https://degliubertistore.com/products/installation-coat" TargetMode="External" Id="rId23"/><Relationship Type="http://schemas.openxmlformats.org/officeDocument/2006/relationships/hyperlink" Target="https://www.mrporter.com/en-it/mens/product/de-bonne-facture/clothing/winter-coats/camargue-wool-coat/46376663162915350" TargetMode="External" Id="rId24"/><Relationship Type="http://schemas.openxmlformats.org/officeDocument/2006/relationships/hyperlink" Target="https://isto.pt/products/recycled-wool-work-jacket-navy?country=US" TargetMode="External" Id="rId25"/><Relationship Type="http://schemas.openxmlformats.org/officeDocument/2006/relationships/hyperlink" Target="https://www.mrporter.com/en-us/mens/product/frame/clothing/lightweight-waterproof-jackets/wool-chore-jacket/1647597356004941" TargetMode="External" Id="rId26"/><Relationship Type="http://schemas.openxmlformats.org/officeDocument/2006/relationships/hyperlink" Target="https://zerobarracento.com/products/soft-short-recycled-wool-trench-coat" TargetMode="External" Id="rId27"/><Relationship Type="http://schemas.openxmlformats.org/officeDocument/2006/relationships/hyperlink" Target="https://www.farfetch.com/cz/shopping/women/officine-generale-aretha-coat-item-25126877.aspx" TargetMode="External" Id="rId28"/><Relationship Type="http://schemas.openxmlformats.org/officeDocument/2006/relationships/hyperlink" Target="https://www.aritzia.com/intl/en/product/portfolio-double-face-coat/111630.html?color=4425" TargetMode="External" Id="rId29"/><Relationship Type="http://schemas.openxmlformats.org/officeDocument/2006/relationships/hyperlink" Target="https://www.universalstandard.com/products/double-face-luxe-coat-black?srsltid=AfmBOopj1J3srOFjBCEJsvZeSOjm57EI1IEMRTLMLBmFJ3PIoybvQFGB" TargetMode="External" Id="rId30"/><Relationship Type="http://schemas.openxmlformats.org/officeDocument/2006/relationships/hyperlink" Target="https://cyrillus.com/products/manteau-manteau-gris-chine-fonce_7033" TargetMode="External" Id="rId31"/><Relationship Type="http://schemas.openxmlformats.org/officeDocument/2006/relationships/hyperlink" Target="https://it.vestiairecollective.com/donna-abbigliamento/cappotti/massimo-dutti/cappotti-massimo-dutti-rosa-lana-54936609.shtml" TargetMode="External" Id="rId32"/><Relationship Type="http://schemas.openxmlformats.org/officeDocument/2006/relationships/hyperlink" Target="https://www.cos.com/en-eu/women/womenswear/coatsjackets/coats/product/wool-blend-trench-coat-navy-1308449002" TargetMode="External" Id="rId33"/><Relationship Type="http://schemas.openxmlformats.org/officeDocument/2006/relationships/hyperlink" Target="https://www.cos.com/en-us/women/womenswear/coatsjackets/coats/product/oversized-double-breasted-wool-coat-camel-1298577004" TargetMode="External" Id="rId34"/><Relationship Type="http://schemas.openxmlformats.org/officeDocument/2006/relationships/hyperlink" Target="https://www.thecoolhour.com/products/fortela-winston-double-breasted-checked-wool-coat/" TargetMode="External" Id="rId35"/><Relationship Type="http://schemas.openxmlformats.org/officeDocument/2006/relationships/hyperlink" Target="https://www.ssense.com/en-us/women/product/dries-van-noten/black-wool-coat/18387891" TargetMode="External" Id="rId36"/><Relationship Type="http://schemas.openxmlformats.org/officeDocument/2006/relationships/hyperlink" Target="https://www.mrporter.com/en-us/mens/product/nn07/clothing/lightweight-waterproof-jackets/alban-8447-wool-blend-felt-jacket/46376663163026302?cm_mmc=PartnerizeAM-_-clothbase-_-Brand-_-1100l22433&amp;utm_source=partnerize&amp;utm_medium=affiliation&amp;utm_campaign=xq_1100l22433&amp;utm_content=clothbase&amp;clickref=&amp;adj_t=19hgz889&amp;adj_campaign=xq_1100l22433" TargetMode="External" Id="rId37"/><Relationship Type="http://schemas.openxmlformats.org/officeDocument/2006/relationships/hyperlink" Target="https://www.closed.com/en/products/women-jackets-and-coats-classic-wool-blend-coat-silt-grey-c97230-66s-22-198.html" TargetMode="External" Id="rId38"/><Relationship Type="http://schemas.openxmlformats.org/officeDocument/2006/relationships/hyperlink" Target="https://bellerose.com/products/women-knitwear-datair-parchemin" TargetMode="External" Id="rId39"/><Relationship Type="http://schemas.openxmlformats.org/officeDocument/2006/relationships/hyperlink" Target="https://www.arket.com/en-ww/product/wool-alpaca-blend-coat-black-1300194001/" TargetMode="External" Id="rId40"/><Relationship Type="http://schemas.openxmlformats.org/officeDocument/2006/relationships/hyperlink" Target="https://www2.hm.com/it_it/productpage.1304699001.html?srsltid=AfmBOorTa2KQ9KsQcZIONGuI3PLEI3EDLTjKSPL-BG7AbG0WgLCviZpu" TargetMode="External" Id="rId41"/><Relationship Type="http://schemas.openxmlformats.org/officeDocument/2006/relationships/hyperlink" Target="https://www2.hm.com/it_it/productpage.1288164001.html?srsltid=AfmBOooG7v5hqupC8L_Tb_Fr4sTU0AqGL-ijdmRzqN-7BQhwwL8bLPoV" TargetMode="External" Id="rId42"/><Relationship Type="http://schemas.openxmlformats.org/officeDocument/2006/relationships/hyperlink" Target="https://www2.hm.com/it_it/productpage.1229568001.html?srsltid=AfmBOoo-lwAtdWsBO13v2DuB_Favyx5OW_Sf2mgiv_TlU5RPyoaL5fnf" TargetMode="External" Id="rId43"/><Relationship Type="http://schemas.openxmlformats.org/officeDocument/2006/relationships/hyperlink" Target="https://www.selected.com/it-it/p/cappotto/16098294_SkyCaptain?utm_source=google&amp;utm_medium=cpc&amp;utm_campaign=Brand_Selected_IT_Shopping_PerformanceMax_Women&amp;gad_source=1&amp;gad_campaignid=22030179585&amp;gbraid=0AAAAACfVC6OsLdr7vFW1IQfZsZCrUjZkU&amp;gclid=CjwKCAjwhe3OBhABEiwA6392zIdH3oLmuDj3mcoAVRdlcohP8JkIEWWqtgeIhj9y0yz5kScUkC1foRoCagoQAvD_BwE" TargetMode="External" Id="rId44"/><Relationship Type="http://schemas.openxmlformats.org/officeDocument/2006/relationships/hyperlink" Target="https://shop.mango.com/it/it/p/donna/cappotti/cappotti/cappotto-lana-manteco-collo-pelliccia_27031309" TargetMode="External" Id="rId45"/><Relationship Type="http://schemas.openxmlformats.org/officeDocument/2006/relationships/hyperlink" Target="https://www.zara.com/it/it/giubbotto-misto-lana-manteco--origins-p04101570.html" TargetMode="External" Id="rId46"/><Relationship Type="http://schemas.openxmlformats.org/officeDocument/2006/relationships/hyperlink" Target="https://www.zara.com/it/it/cappotto-misto-lana-manteco-zw-collection-limited-edition-p02100762.html" TargetMode="External" Id="rId47"/><Relationship Type="http://schemas.openxmlformats.org/officeDocument/2006/relationships/hyperlink" Target="https://www.mangooutlet.com/it/it/p/donna/cappotti/cappotti/cappotto-lana-manteco-maxi-revers_87070453" TargetMode="External" Id="rId48"/><Relationship Type="http://schemas.openxmlformats.org/officeDocument/2006/relationships/hyperlink" Target="https://closetbyhamilton.it/en/fortela-giacca-renny.html?srsltid=AfmBOopZJ-x9g9xGmGajIzwXpCAW8cp1X9aI9Tmd4OQETnXhYYTLQZeN" TargetMode="External" Id="rId49"/><Relationship Type="http://schemas.openxmlformats.org/officeDocument/2006/relationships/hyperlink" Target="https://www2.hm.com/it_it/productpage.1319364001.html" TargetMode="External" Id="rId50"/><Relationship Type="http://schemas.openxmlformats.org/officeDocument/2006/relationships/hyperlink" Target="https://www2.hm.com/it_it/productpage.1296699001.html" TargetMode="External" Id="rId51"/><Relationship Type="http://schemas.openxmlformats.org/officeDocument/2006/relationships/hyperlink" Target="https://www2.hm.com/it_it/productpage.1319850001.html" TargetMode="External" Id="rId52"/><Relationship Type="http://schemas.openxmlformats.org/officeDocument/2006/relationships/hyperlink" Target="https://www.cos.com/it-it/women/womenswear/coatsjackets/coats/product/oversized-double-breasted-wool-coat-dark-green-1245359004" TargetMode="External" Id="rId53"/><Relationship Type="http://schemas.openxmlformats.org/officeDocument/2006/relationships/hyperlink" Target="https://www.cos.com/it-it/women/womenswear/coatsjackets/coats/product/tailored-belted-wool-twill-coat-charcoal-1322684001" TargetMode="External" Id="rId54"/><Relationship Type="http://schemas.openxmlformats.org/officeDocument/2006/relationships/hyperlink" Target="https://shop.mango.com/it/it/p/donna/cappotti/cappotti/cappotto-lana-doppia-abbottonatura_17098289" TargetMode="External" Id="rId55"/><Relationship Type="http://schemas.openxmlformats.org/officeDocument/2006/relationships/hyperlink" Target="https://shop.mango.com/it/it/p/donna/cappotti/cappotti/cappotto-lana-revers_17036361" TargetMode="External" Id="rId56"/><Relationship Type="http://schemas.openxmlformats.org/officeDocument/2006/relationships/hyperlink" Target="https://www.zara.com/it/it/cappotto-corto-misto-lana-con-collo-alto-p02077323.html?v1=498022789&amp;v2=2419020" TargetMode="External" Id="rId57"/><Relationship Type="http://schemas.openxmlformats.org/officeDocument/2006/relationships/hyperlink" Target="https://www.aritzia.com/intl/en/product/the-embrace-double-faced-coat/128590.html?color=1274" TargetMode="External" Id="rId58"/><Relationship Type="http://schemas.openxmlformats.org/officeDocument/2006/relationships/hyperlink" Target="https://www.aritzia.com/us/en/product/the-only-double-faced-coat/127750.html" TargetMode="External" Id="rId59"/><Relationship Type="http://schemas.openxmlformats.org/officeDocument/2006/relationships/hyperlink" Target="https://www.selected.com/it-it/p/cappotto-in-misto-lana/16097628_FallenRock_1192211" TargetMode="External" Id="rId60"/><Relationship Type="http://schemas.openxmlformats.org/officeDocument/2006/relationships/hyperlink" Target="https://www.selected.com/it-it/p/cappotto/16098038_Sandshell_1190946" TargetMode="External" Id="rId61"/><Relationship Type="http://schemas.openxmlformats.org/officeDocument/2006/relationships/hyperlink" Target="https://www.zara.com/it/it/giubbotto-lana-cerniera-origins-p08491400.html?v1=496607894" TargetMode="External" Id="rId6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zara.com/us/en/manteco-wool-coat-zw-collection-limited-edition-p02100762.html" TargetMode="External" Id="rId1"/><Relationship Type="http://schemas.openxmlformats.org/officeDocument/2006/relationships/hyperlink" Target="https://shop.mango.com/us/en/p/women/coats/coats/woollen-coat-with-belt_27044438" TargetMode="External" Id="rId2"/><Relationship Type="http://schemas.openxmlformats.org/officeDocument/2006/relationships/hyperlink" Target="https://shop.mango.com/us/en/p/men/coats/coats/long-wool-coat_17086720?c=09" TargetMode="External" Id="rId3"/><Relationship Type="http://schemas.openxmlformats.org/officeDocument/2006/relationships/hyperlink" Target="https://www.zara.com/us/en/manteco-wool-coat-zw-collection-limited-edition-p02100762.html" TargetMode="External" Id="rId4"/><Relationship Type="http://schemas.openxmlformats.org/officeDocument/2006/relationships/hyperlink" Target="https://www.zara.com/it/it/cappotto-corto-misto-lana-con-collo-alto-p02077323.html?v1=498022789&amp;v2=2419020" TargetMode="External" Id="rId5"/><Relationship Type="http://schemas.openxmlformats.org/officeDocument/2006/relationships/hyperlink" Target="https://shop.mango.com/us/en/p/women/coats/coats/double-breasted-wool-coat_27093325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hop.mango.com/us/en/p/women/coats/coats/manteco-wool-coat-with-belt_27011306?s=20&amp;srsltid=AfmBOophh-hNVSgGynGZWotRf7pi8sa4NfhC8GHvuNy-RLQVJeHZNiGsHtk" TargetMode="External" Id="rId1"/><Relationship Type="http://schemas.openxmlformats.org/officeDocument/2006/relationships/hyperlink" Target="https://shop.mango.com/gh/en/p/women/coats/coats/manteco-wool-coat-with-fur-collar_27031309" TargetMode="External" Id="rId2"/><Relationship Type="http://schemas.openxmlformats.org/officeDocument/2006/relationships/hyperlink" Target="https://shop.mango.com/it/it/p/donna/cappotti/cappotti/cappotto-lana-revers_17036361" TargetMode="External" Id="rId3"/><Relationship Type="http://schemas.openxmlformats.org/officeDocument/2006/relationships/hyperlink" Target="https://shop.mango.com/us/en/p/men/coats/coats/manteco-wool-coat-with-lapels_27061172?s=23&amp;srsltid=AfmBOopLb77GpDXg0uY2klNkf9_KcmgC6ZscAQi_q6H5O2aZWPe2PeOJkE8" TargetMode="External" Id="rId4"/><Relationship Type="http://schemas.openxmlformats.org/officeDocument/2006/relationships/hyperlink" Target="https://shop.mango.com/it/it/p/uomo/cappotti/cappotti/cappotto-lana-spigato_27071171" TargetMode="External" Id="rId5"/><Relationship Type="http://schemas.openxmlformats.org/officeDocument/2006/relationships/hyperlink" Target="https://www2.hm.com/it_it/productpage.1304699001.html?srsltid=AfmBOorTa2KQ9KsQcZIONGuI3PLEI3EDLTjKSPL-BG7AbG0WgLCviZpu" TargetMode="External" Id="rId6"/><Relationship Type="http://schemas.openxmlformats.org/officeDocument/2006/relationships/hyperlink" Target="https://www2.hm.com/it_it/productpage.1288164001.html?srsltid=AfmBOooG7v5hqupC8L_Tb_Fr4sTU0AqGL-ijdmRzqN-7BQhwwL8bLPoV" TargetMode="External" Id="rId7"/><Relationship Type="http://schemas.openxmlformats.org/officeDocument/2006/relationships/hyperlink" Target="https://www2.hm.com/it_it/productpage.1229568001.html?srsltid=AfmBOoo-lwAtdWsBO13v2DuB_Favyx5OW_Sf2mgiv_TlU5RPyoaL5fnf" TargetMode="External" Id="rId8"/><Relationship Type="http://schemas.openxmlformats.org/officeDocument/2006/relationships/hyperlink" Target="https://www.woolrich.com/us/en/2-in-1-sideline-parka-in-manteco-recycled-wool-blend-CFWWOU0944FRUT3492_7391.html" TargetMode="External" Id="rId9"/><Relationship Type="http://schemas.openxmlformats.org/officeDocument/2006/relationships/hyperlink" Target="https://www.woolrich.com/it/it/giacca-a-camicia-in-misto-lana-con-motivo-a-quadri-CFWOOS2021MRUT5178_8914.html" TargetMode="External" Id="rId10"/><Relationship Type="http://schemas.openxmlformats.org/officeDocument/2006/relationships/hyperlink" Target="https://www.karenmillen.com/product/karen-millen-italian-manteco-wool-stitch-detail-trench-midi-coat_bkk13707?utm_source=&amp;colour=black" TargetMode="External" Id="rId11"/><Relationship Type="http://schemas.openxmlformats.org/officeDocument/2006/relationships/hyperlink" Target="https://www.karenmillen.com/us/product/karen-millen-italian-wool-double-breasted-military-midi-coat_bkk21259?colour=camel" TargetMode="External" Id="rId12"/><Relationship Type="http://schemas.openxmlformats.org/officeDocument/2006/relationships/hyperlink" Target="https://www.aritzia.com/intl/en/product/portfolio-double-face-coat/111630.html?color=4425" TargetMode="External" Id="rId13"/><Relationship Type="http://schemas.openxmlformats.org/officeDocument/2006/relationships/hyperlink" Target="https://www.selected.com/it-it/p/cappotto-in-misto-lana/16098258_Delicioso" TargetMode="External" Id="rId14"/><Relationship Type="http://schemas.openxmlformats.org/officeDocument/2006/relationships/hyperlink" Target="https://www.zara.com/it/it/cappotto-corto-misto-lana-con-collo-alto-p02077323.html?v1=498022789&amp;v2=2419020" TargetMode="External" Id="rId15"/><Relationship Type="http://schemas.openxmlformats.org/officeDocument/2006/relationships/hyperlink" Target="https://shop.mango.com/us/en/p/women/coats/coats/manteco-wool-coat-with-lapels_17016360?s=21&amp;srsltid=AfmBOoqU_n1U9wZwRw-7PFSW3U7GOHA64XNR6QmQ2CtE4GE3U5R8iTd0B54" TargetMode="External" Id="rId16"/><Relationship Type="http://schemas.openxmlformats.org/officeDocument/2006/relationships/hyperlink" Target="https://shop.mango.com/it/it/p/uomo/cappotti/cappotti/cappotto-lana-spigato_27071171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vinted.it/items/8630741489-cappotto-blu-taglia-l-mango" TargetMode="External" Id="rId1"/><Relationship Type="http://schemas.openxmlformats.org/officeDocument/2006/relationships/hyperlink" Target="https://www.vinted.it/items/8601853893-manteco-mantel" TargetMode="External" Id="rId2"/><Relationship Type="http://schemas.openxmlformats.org/officeDocument/2006/relationships/hyperlink" Target="https://www.vinted.it/items/8641427900-abrigo-estilo-masculino" TargetMode="External" Id="rId3"/><Relationship Type="http://schemas.openxmlformats.org/officeDocument/2006/relationships/hyperlink" Target="https://www.vinted.it/items/8141310982-manteau-long-noir-mango-en-laine-manteco-70-laine?referrer=catalog" TargetMode="External" Id="rId4"/><Relationship Type="http://schemas.openxmlformats.org/officeDocument/2006/relationships/hyperlink" Target="https://www.vinted.it/items/7394429081-cappotto-grigio-lana-spalline-taglia-sm-mango?referrer=catalog" TargetMode="External" Id="rId5"/><Relationship Type="http://schemas.openxmlformats.org/officeDocument/2006/relationships/hyperlink" Target="https://www.ebay.com/itm/406721971293?_skw=Manteco+wool+coat+with+fur+collar+-+mango&amp;itmmeta=01KPBB38SRN21EKX9AGV7WZJPQ&amp;hash=item5eb284c45d:g:2CIAAeSwcMtpn2VT&amp;itmprp=enc%3AAQALAAABEGfYFPkwiKCW4ZNSs2u11xAEc9S1QBCZrE2GyYuEfR%2Fo%2B0MBO10SUMmL5TA60FeOxloCjaTy01VrNvaSWsPIv7019c%2F746utr1wzTDQnll2k3Jtxy3JV7T%2BOlVyWYCoMCk1s0XNzUECVa99yrahkWrvYlvFpkz%2BW4CHgV3vuk3dvJQSNsJ59iCUGsyOey6cmr9MhC2kma1VCwE%2FRWy5KzcQMsXylqjILyGBN3dmWNpcckKgphjwaZrCv6%2Bj14qGA3EPssZx%2FMJmF%2BZyEnAv455RQ75JLDRuHui2TfWdgBWdbQgj8n4v9JZE3xBHtSpi%2Fca3cjIeIeraXcxOwQ%2FZ4qD5CrsK5wh%2F0qzbEvpnKnhtM%7Ctkp%3ABk9SR4SNjeuyZw" TargetMode="External" Id="rId6"/><Relationship Type="http://schemas.openxmlformats.org/officeDocument/2006/relationships/hyperlink" Target="https://www.vinted.it/items/8088494719-cappotto-lungo-nero-mango-x-manteco-72-lana-taglia-m?referrer=catalog" TargetMode="External" Id="rId7"/><Relationship Type="http://schemas.openxmlformats.org/officeDocument/2006/relationships/hyperlink" Target="https://it.vestiairecollective.com/donna-abbigliamento/cappotti/cos/cappotti-cos-marina-lana-62870779.shtml" TargetMode="External" Id="rId8"/><Relationship Type="http://schemas.openxmlformats.org/officeDocument/2006/relationships/hyperlink" Target="https://www.vinted.co.uk/items/7752876217-cos-oversized-double-breasted-wool-coat?utm_source=chatgpt.com" TargetMode="External" Id="rId9"/><Relationship Type="http://schemas.openxmlformats.org/officeDocument/2006/relationships/hyperlink" Target="https://it.vestiairecollective.com/donna-abbigliamento/cappotti/woolrich/cappotti-woolrich-marina-lana-50801474.shtml" TargetMode="External" Id="rId10"/><Relationship Type="http://schemas.openxmlformats.org/officeDocument/2006/relationships/hyperlink" Target="https://www.ebay.com/itm/157808806245?_skw=aritzia+double+faced&amp;itmmeta=01KPJHZ9VW4R7VG3D7Q7QZPSTM&amp;hash=item24be234965:g:SbkAAeSwqiRp0cK0&amp;itmprp=enc%3AAQALAAAA0GfYFPkwiKCW4ZNSs2u11xD3xp3nXUpG%2F3XVNGuU12cRgt8ThOQ%2FBoAM5yh6cVDA86jTTueR9AiY1jAOK3F%2FoCv7b5GiRqi2Zw7DekaA7bCKi5KVfkQry6zXnM5rJsGxy5scQ8xn%2FkKF%2F3X4MBsaOYclvbcmjhRg6PGEnRbSFnXnwivZiZ6nSSvj%2B2kAih9kUL0XEAoD71WuN73SXlWDj%2BrFPyQnsGPfUt%2FuWOHu11Qm2pon01GCVGOdBkTH7oUWqUBa7tNvRtIuWllfazuMR9Y%3D%7Ctkp%3ABk9SR5Ce_dG0Zw" TargetMode="External" Id="rId11"/></Relationships>
</file>

<file path=xl/worksheets/sheet1.xml><?xml version="1.0" encoding="utf-8"?>
<worksheet xmlns="http://schemas.openxmlformats.org/spreadsheetml/2006/main">
  <sheetPr>
    <tabColor rgb="FF2D5A3D"/>
    <outlinePr summaryBelow="1" summaryRight="1"/>
    <pageSetUpPr/>
  </sheetPr>
  <dimension ref="A1:M10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8" customWidth="1" style="90" min="1" max="1"/>
    <col width="12.29" customWidth="1" style="90" min="2" max="2"/>
    <col width="18" customWidth="1" style="90" min="3" max="3"/>
    <col width="63.43" customWidth="1" style="90" min="4" max="4"/>
    <col width="13" customWidth="1" style="90" min="5" max="5"/>
    <col width="10" customWidth="1" style="90" min="6" max="6"/>
    <col width="14" customWidth="1" style="90" min="7" max="8"/>
    <col width="12" customWidth="1" style="90" min="9" max="9"/>
    <col width="14" customWidth="1" style="90" min="10" max="10"/>
    <col width="12" customWidth="1" style="90" min="11" max="11"/>
    <col width="69.56999999999999" customWidth="1" style="90" min="12" max="12"/>
    <col width="112.71" customWidth="1" style="90" min="13" max="14"/>
    <col width="8.710000000000001" customWidth="1" style="90" min="15" max="26"/>
  </cols>
  <sheetData>
    <row r="1" ht="31.5" customHeight="1" s="90">
      <c r="A1" s="91" t="inlineStr">
        <is>
          <t>MANTECO PRICE RESILIENCE — Products Library</t>
        </is>
      </c>
    </row>
    <row r="2" ht="36" customHeight="1" s="90">
      <c r="A2" s="4" t="inlineStr">
        <is>
          <t>ID</t>
        </is>
      </c>
      <c r="B2" s="4" t="inlineStr">
        <is>
          <t>Type
(M/C)</t>
        </is>
      </c>
      <c r="C2" s="4" t="inlineStr">
        <is>
          <t>Brand</t>
        </is>
      </c>
      <c r="D2" s="4" t="inlineStr">
        <is>
          <t>Product Name</t>
        </is>
      </c>
      <c r="E2" s="4" t="inlineStr">
        <is>
          <t>Category</t>
        </is>
      </c>
      <c r="F2" s="4" t="inlineStr">
        <is>
          <t>Season</t>
        </is>
      </c>
      <c r="G2" s="32" t="inlineStr">
        <is>
          <t>Retail
Price ($)</t>
        </is>
      </c>
      <c r="H2" s="32" t="inlineStr">
        <is>
          <t>Sale
Price ($)</t>
        </is>
      </c>
      <c r="I2" s="32" t="inlineStr">
        <is>
          <t>Markdown %</t>
        </is>
      </c>
      <c r="J2" s="33" t="inlineStr">
        <is>
          <t>Resale
Price ($)</t>
        </is>
      </c>
      <c r="K2" s="33" t="inlineStr">
        <is>
          <t>Residual %</t>
        </is>
      </c>
      <c r="L2" s="4" t="inlineStr">
        <is>
          <t>Fabric</t>
        </is>
      </c>
      <c r="M2" s="4" t="inlineStr">
        <is>
          <t>Product URL</t>
        </is>
      </c>
    </row>
    <row r="3">
      <c r="A3" s="17">
        <f>IF(C3&lt;&gt;"","P"&amp;TEXT(ROW()-2,"00"),"")</f>
        <v/>
      </c>
      <c r="B3" s="29" t="inlineStr">
        <is>
          <t>Manteco</t>
        </is>
      </c>
      <c r="C3" s="30" t="inlineStr">
        <is>
          <t>MANGO</t>
        </is>
      </c>
      <c r="D3" s="30" t="inlineStr">
        <is>
          <t>Manteco wool coat with belt</t>
        </is>
      </c>
      <c r="E3" s="30" t="inlineStr">
        <is>
          <t>Coat</t>
        </is>
      </c>
      <c r="F3" s="30" t="inlineStr">
        <is>
          <t>CW26</t>
        </is>
      </c>
      <c r="G3" s="12" t="n">
        <v>299.99</v>
      </c>
      <c r="H3" s="12" t="n">
        <v>179.99</v>
      </c>
      <c r="I3" s="13" t="n">
        <v>0.3</v>
      </c>
      <c r="J3" s="12" t="n"/>
      <c r="K3" s="13">
        <f>IFERROR(IF(AND(G3&lt;&gt;"",J3&lt;&gt;""),J3/G3,""),"")</f>
        <v/>
      </c>
      <c r="L3" s="30" t="inlineStr">
        <is>
          <t>71% wool, 27% polyamide, 1% polyester, 1% acrylic</t>
        </is>
      </c>
      <c r="M3" s="14" t="inlineStr">
        <is>
          <t>https://shop.mango.com/us/en/p/women/coats/coats/manteco-wool-coat-with-belt_27011306?s=20&amp;srsltid=AfmBOophh-hNVSgGynGZWotRf7pi8sa4NfhC8GHvuNy-RLQVJeHZNiGsHtk</t>
        </is>
      </c>
    </row>
    <row r="4">
      <c r="A4" s="17">
        <f>IF(C4&lt;&gt;"","P"&amp;TEXT(ROW()-2,"00"),"")</f>
        <v/>
      </c>
      <c r="B4" s="29" t="inlineStr">
        <is>
          <t>Manteco</t>
        </is>
      </c>
      <c r="C4" s="30" t="inlineStr">
        <is>
          <t>SELECTED</t>
        </is>
      </c>
      <c r="D4" s="30" t="inlineStr">
        <is>
          <t>CAPPOTTO IN MISTO LANA</t>
        </is>
      </c>
      <c r="E4" s="30" t="inlineStr">
        <is>
          <t>Coat</t>
        </is>
      </c>
      <c r="F4" s="30" t="inlineStr">
        <is>
          <t>FW25</t>
        </is>
      </c>
      <c r="G4" s="12" t="n">
        <v>279.99</v>
      </c>
      <c r="H4" s="12" t="n">
        <v>111.95</v>
      </c>
      <c r="I4" s="13">
        <f>IFERROR(IF(AND(G4&lt;&gt;"",H4&lt;&gt;""),(G4-H4)/G4,""),"")</f>
        <v/>
      </c>
      <c r="J4" s="12" t="n"/>
      <c r="K4" s="13">
        <f>IFERROR(IF(AND(G4&lt;&gt;"",J4&lt;&gt;""),J4/G4,""),"")</f>
        <v/>
      </c>
      <c r="L4" s="30" t="inlineStr">
        <is>
          <t>50% wool, 30% polyester, 10% scrylic, 5% polyamide, 5% other fibres</t>
        </is>
      </c>
      <c r="M4" s="15" t="inlineStr">
        <is>
          <t>https://www.zalando.it/selected-homme-cappotto-classico-dark-brown-se622t0qi-o11.html?ssku=SE622T0QI-O11000L000&amp;lang=it&amp;otid=default&amp;wmc=SEM390_NB_GO._8690582122_680648580_34341989185.&amp;opc=2211&amp;mpp=google%7Cv1%7C%7Cpla-18283950120%7C%7C9202131%7C%7Cg%7Cc%7C%7C149792249252%7C%7Cpla%7CSE622T0QI-O11000L000%7C18283950120%7C1%7C&amp;gclsrc=aw.ds&amp;gad_source=1&amp;gad_campaignid=680648580&amp;gbraid=0AAAAADM14zeiGz97KKtkiqJ-SY9cZJKS_&amp;gclid=CjwKCAjwhe3OBhABEiwA6392zC1Z6N9WI09HN1yILD4-CkWOHdxo4jkZ0Q1xU54XnDeeCsZUOnEp8RoClykQAvD_BwE</t>
        </is>
      </c>
    </row>
    <row r="5">
      <c r="A5" s="17">
        <f>IF(C5&lt;&gt;"","P"&amp;TEXT(ROW()-2,"00"),"")</f>
        <v/>
      </c>
      <c r="B5" s="29" t="inlineStr">
        <is>
          <t>Manteco</t>
        </is>
      </c>
      <c r="C5" s="30" t="inlineStr">
        <is>
          <t>EAVES</t>
        </is>
      </c>
      <c r="D5" s="30" t="inlineStr">
        <is>
          <t>Yaron Manteco Wool Coat</t>
        </is>
      </c>
      <c r="E5" s="30" t="inlineStr">
        <is>
          <t>Coat</t>
        </is>
      </c>
      <c r="F5" s="30" t="inlineStr">
        <is>
          <t>CW26</t>
        </is>
      </c>
      <c r="G5" s="12" t="n">
        <v>495</v>
      </c>
      <c r="H5" s="12" t="n">
        <v>421</v>
      </c>
      <c r="I5" s="13">
        <f>IFERROR(IF(AND(G5&lt;&gt;"",H5&lt;&gt;""),(G5-H5)/G5,""),"")</f>
        <v/>
      </c>
      <c r="J5" s="12" t="n"/>
      <c r="K5" s="13">
        <f>IFERROR(IF(AND(G5&lt;&gt;"",J5&lt;&gt;""),J5/G5,""),"")</f>
        <v/>
      </c>
      <c r="L5" s="30" t="inlineStr">
        <is>
          <t>50% wool, 30% polyester, 10% acrylic, 5% nylon, 5% other fibers</t>
        </is>
      </c>
      <c r="M5" s="14" t="inlineStr">
        <is>
          <t>https://www.revolve.com/eaves-yaron-manteco-wool-coat-in-light-grey/dp/EAVR-WO139/?d=F&amp;tCurrency=USD&amp;tCountryCode=US&amp;tCurrency=USD&amp;tCountryCode=US&amp;deeplink=true&amp;utm_source=google&amp;utm_medium=cpc&amp;utm_campaign=PMax:+Product+Listing+Ads+-+PLA+-+Owned+Brands&amp;gclsrc=aw.ds&amp;gad_source=1&amp;gad_campaignid=21247993676&amp;gbraid=0AAAAAD9qhJissu2DylkCPd5PipPVYsRyp&amp;gclid=Cj0KCQjwj47OBhCmARIsAF5wUEFhLB712EGV_Y-nwUBdthsbuj-B6UOgV_N2rKHTBzAQsnewyb4F4jgaAnaHEALw_wcB</t>
        </is>
      </c>
    </row>
    <row r="6">
      <c r="A6" s="17">
        <f>IF(C6&lt;&gt;"","P"&amp;TEXT(ROW()-2,"00"),"")</f>
        <v/>
      </c>
      <c r="B6" s="29" t="inlineStr">
        <is>
          <t>Manteco</t>
        </is>
      </c>
      <c r="C6" s="30" t="inlineStr">
        <is>
          <t>EAVES</t>
        </is>
      </c>
      <c r="D6" s="30" t="inlineStr">
        <is>
          <t>x Coco Oak Manteco Wool Blazer Jacket</t>
        </is>
      </c>
      <c r="E6" s="30" t="inlineStr">
        <is>
          <t>Jacket</t>
        </is>
      </c>
      <c r="F6" s="30" t="inlineStr">
        <is>
          <t>FW25</t>
        </is>
      </c>
      <c r="G6" s="12" t="n">
        <v>499</v>
      </c>
      <c r="H6" s="12" t="n">
        <v>160</v>
      </c>
      <c r="I6" s="13">
        <f>IFERROR(IF(AND(G6&lt;&gt;"",H6&lt;&gt;""),(G6-H6)/G6,""),"")</f>
        <v/>
      </c>
      <c r="J6" s="12" t="n"/>
      <c r="K6" s="13">
        <f>IFERROR(IF(AND(G6&lt;&gt;"",J6&lt;&gt;""),J6/G6,""),"")</f>
        <v/>
      </c>
      <c r="L6" s="30" t="inlineStr">
        <is>
          <t>50% wool, 30% polyester, 10% acrylic, 10% polyamide</t>
        </is>
      </c>
      <c r="M6" s="14" t="inlineStr">
        <is>
          <t>https://www.revolve.com/eaves-x-coco-oak-manteco-wool-blazer-jacket-in-dark-grey/dp/EAVR-WO183/?d=F&amp;tCurrency=USD&amp;tCountryCode=US&amp;tCurrency=USD&amp;tCountryCode=US&amp;deeplink=true&amp;utm_source=google&amp;utm_medium=cpc&amp;utm_campaign=Product+Listing+Ads+-+PMAX+-+Zombies&amp;gclsrc=aw.ds&amp;gad_source=1&amp;gad_campaignid=20232795775&amp;gbraid=0AAAAAD9qhJjEotflWpZQoQm6Gd6h5g9Hj&amp;gclid=Cj0KCQjwj47OBhCmARIsAF5wUEEtPHwVvPzIv9QjjiUjMvE4DZrhnwfmTbq37rJT-icLtxXihLBiwR4aApvnEALw_wcB</t>
        </is>
      </c>
    </row>
    <row r="7">
      <c r="A7" s="17">
        <f>IF(C7&lt;&gt;"","P"&amp;TEXT(ROW()-2,"00"),"")</f>
        <v/>
      </c>
      <c r="B7" s="29" t="inlineStr">
        <is>
          <t>Manteco</t>
        </is>
      </c>
      <c r="C7" s="30" t="inlineStr">
        <is>
          <t>MANGO</t>
        </is>
      </c>
      <c r="D7" s="30" t="inlineStr">
        <is>
          <t>Manteco wool coat with fur collar</t>
        </is>
      </c>
      <c r="E7" s="30" t="inlineStr">
        <is>
          <t>Coat</t>
        </is>
      </c>
      <c r="F7" s="30" t="inlineStr">
        <is>
          <t>CW26</t>
        </is>
      </c>
      <c r="G7" s="12" t="n">
        <v>329</v>
      </c>
      <c r="H7" s="12" t="n">
        <v>249.99</v>
      </c>
      <c r="I7" s="13">
        <f>IFERROR(IF(AND(G7&lt;&gt;"",H7&lt;&gt;""),(G7-H7)/G7,""),"")</f>
        <v/>
      </c>
      <c r="J7" s="12" t="n"/>
      <c r="K7" s="13">
        <f>IFERROR(IF(AND(G7&lt;&gt;"",J7&lt;&gt;""),J7/G7,""),"")</f>
        <v/>
      </c>
      <c r="L7" s="30" t="inlineStr">
        <is>
          <t>71% wool, 26% polyamide, 1% polyester, 1% cotton, 1% acrylic</t>
        </is>
      </c>
      <c r="M7" s="15" t="inlineStr">
        <is>
          <t>https://shop.mango.com/gh/en/p/women/coats/coats/manteco-wool-coat-with-fur-collar_27031309</t>
        </is>
      </c>
    </row>
    <row r="8">
      <c r="A8" s="17">
        <f>IF(C8&lt;&gt;"","P"&amp;TEXT(ROW()-2,"00"),"")</f>
        <v/>
      </c>
      <c r="B8" s="29" t="inlineStr">
        <is>
          <t>Manteco</t>
        </is>
      </c>
      <c r="C8" s="30" t="inlineStr">
        <is>
          <t>MANGO</t>
        </is>
      </c>
      <c r="D8" s="30" t="inlineStr">
        <is>
          <t>Manteco wool coat with lapels</t>
        </is>
      </c>
      <c r="E8" s="30" t="inlineStr">
        <is>
          <t>Coat</t>
        </is>
      </c>
      <c r="F8" s="30" t="inlineStr">
        <is>
          <t>CW26</t>
        </is>
      </c>
      <c r="G8" s="12" t="n">
        <v>349.99</v>
      </c>
      <c r="H8" s="12" t="n">
        <v>149.99</v>
      </c>
      <c r="I8" s="13">
        <f>IFERROR(IF(AND(G8&lt;&gt;"",H8&lt;&gt;""),(G8-H8)/G8,""),"")</f>
        <v/>
      </c>
      <c r="J8" s="12" t="n"/>
      <c r="K8" s="13">
        <f>IFERROR(IF(AND(G8&lt;&gt;"",J8&lt;&gt;""),J8/G8,""),"")</f>
        <v/>
      </c>
      <c r="L8" s="30" t="inlineStr">
        <is>
          <t>60% virgin wool, 25% polyamide, 15% wool</t>
        </is>
      </c>
      <c r="M8" s="14" t="inlineStr">
        <is>
          <t>https://shop.mango.com/us/en/p/women/coats/coats/manteco-wool-coat-with-lapels_17016360?s=21&amp;srsltid=AfmBOoqU_n1U9wZwRw-7PFSW3U7GOHA64XNR6QmQ2CtE4GE3U5R8iTd0B54</t>
        </is>
      </c>
    </row>
    <row r="9" ht="19.5" customHeight="1" s="90">
      <c r="A9" s="17">
        <f>IF(C9&lt;&gt;"","P"&amp;TEXT(ROW()-2,"00"),"")</f>
        <v/>
      </c>
      <c r="B9" s="29" t="inlineStr">
        <is>
          <t>Manteco</t>
        </is>
      </c>
      <c r="C9" s="30" t="inlineStr">
        <is>
          <t>Fortela</t>
        </is>
      </c>
      <c r="D9" s="30" t="inlineStr">
        <is>
          <t>Bobbie Giacca Classica Doppiopetto In Flanella</t>
        </is>
      </c>
      <c r="E9" s="30" t="inlineStr">
        <is>
          <t>Jacket</t>
        </is>
      </c>
      <c r="F9" s="30" t="inlineStr">
        <is>
          <t>FW25</t>
        </is>
      </c>
      <c r="G9" s="12" t="n">
        <v>800</v>
      </c>
      <c r="H9" s="12" t="n">
        <v>800</v>
      </c>
      <c r="I9" s="13">
        <f>IFERROR(IF(AND(G9&lt;&gt;"",H9&lt;&gt;""),(G9-H9)/G9,""),"")</f>
        <v/>
      </c>
      <c r="J9" s="12" t="n"/>
      <c r="K9" s="13">
        <f>IFERROR(IF(AND(G9&lt;&gt;"",J9&lt;&gt;""),J9/G9,""),"")</f>
        <v/>
      </c>
      <c r="L9" s="30" t="inlineStr">
        <is>
          <t>100% Wool</t>
        </is>
      </c>
      <c r="M9" s="15" t="inlineStr">
        <is>
          <t>https://www.fortela.com/collections/tailleur-e-giacche-donna/products/wbobbie-ma388-cam</t>
        </is>
      </c>
    </row>
    <row r="10" ht="19.5" customHeight="1" s="90">
      <c r="A10" s="17">
        <f>IF(C10&lt;&gt;"","P"&amp;TEXT(ROW()-2,"00"),"")</f>
        <v/>
      </c>
      <c r="B10" s="29" t="inlineStr">
        <is>
          <t>Manteco</t>
        </is>
      </c>
      <c r="C10" s="30" t="inlineStr">
        <is>
          <t>MANGO</t>
        </is>
      </c>
      <c r="D10" s="30" t="inlineStr">
        <is>
          <t xml:space="preserve">Men's Manteco wool coat with lapels
</t>
        </is>
      </c>
      <c r="E10" s="30" t="inlineStr">
        <is>
          <t>Coat</t>
        </is>
      </c>
      <c r="F10" s="30" t="inlineStr">
        <is>
          <t>CW26</t>
        </is>
      </c>
      <c r="G10" s="12" t="n">
        <v>399</v>
      </c>
      <c r="H10" s="12" t="n">
        <v>279</v>
      </c>
      <c r="I10" s="13">
        <f>IFERROR(IF(AND(G10&lt;&gt;"",H10&lt;&gt;""),(G10-H10)/G10,""),"")</f>
        <v/>
      </c>
      <c r="J10" s="12" t="n"/>
      <c r="K10" s="13">
        <f>IFERROR(IF(AND(G10&lt;&gt;"",J10&lt;&gt;""),J10/G10,""),"")</f>
        <v/>
      </c>
      <c r="L10" s="30" t="inlineStr">
        <is>
          <t>75% wool, 25% polyamide</t>
        </is>
      </c>
      <c r="M10" s="15" t="inlineStr">
        <is>
          <t>https://shop.mango.com/us/en/p/men/coats/coats/manteco-wool-coat-with-lapels_27061172?s=23&amp;srsltid=AfmBOopLb77GpDXg0uY2klNkf9_KcmgC6ZscAQi_q6H5O2aZWPe2PeOJkE8</t>
        </is>
      </c>
    </row>
    <row r="11">
      <c r="A11" s="17">
        <f>IF(C11&lt;&gt;"","P"&amp;TEXT(ROW()-2,"00"),"")</f>
        <v/>
      </c>
      <c r="B11" s="29" t="inlineStr">
        <is>
          <t>Manteco</t>
        </is>
      </c>
      <c r="C11" s="30" t="inlineStr">
        <is>
          <t>Zara</t>
        </is>
      </c>
      <c r="D11" s="30" t="inlineStr">
        <is>
          <t xml:space="preserve">STRAIGHT COAT WITH MANTECO WOOL ZW COLLECTION
</t>
        </is>
      </c>
      <c r="E11" s="30" t="inlineStr">
        <is>
          <t>Coat</t>
        </is>
      </c>
      <c r="F11" s="30" t="inlineStr">
        <is>
          <t>CW26</t>
        </is>
      </c>
      <c r="G11" s="12" t="n">
        <v>299</v>
      </c>
      <c r="H11" s="12" t="n">
        <v>299</v>
      </c>
      <c r="I11" s="13">
        <f>IFERROR(IF(AND(G11&lt;&gt;"",H11&lt;&gt;""),(G11-H11)/G11,""),"")</f>
        <v/>
      </c>
      <c r="J11" s="12" t="n"/>
      <c r="K11" s="13">
        <f>IFERROR(IF(AND(G11&lt;&gt;"",J11&lt;&gt;""),J11/G11,""),"")</f>
        <v/>
      </c>
      <c r="L11" s="30" t="inlineStr">
        <is>
          <t>57% wool
29% polyamide
14% alpaca</t>
        </is>
      </c>
      <c r="M11" s="15" t="inlineStr">
        <is>
          <t>https://www.zara.com/us/en/straight-coat-with-manteco-wool-zw-collection-p02046894.html</t>
        </is>
      </c>
    </row>
    <row r="12">
      <c r="A12" s="17">
        <f>IF(C12&lt;&gt;"","P"&amp;TEXT(ROW()-2,"00"),"")</f>
        <v/>
      </c>
      <c r="B12" s="29" t="inlineStr">
        <is>
          <t>Control</t>
        </is>
      </c>
      <c r="C12" s="30" t="inlineStr">
        <is>
          <t>Zara</t>
        </is>
      </c>
      <c r="D12" s="30" t="inlineStr">
        <is>
          <t>WOOL BLEND SHORT COAT ZW COLLECTION</t>
        </is>
      </c>
      <c r="E12" s="30" t="inlineStr">
        <is>
          <t>Coat</t>
        </is>
      </c>
      <c r="F12" s="30" t="inlineStr">
        <is>
          <t>CW26</t>
        </is>
      </c>
      <c r="G12" s="12" t="n">
        <v>169</v>
      </c>
      <c r="H12" s="12" t="n">
        <v>169</v>
      </c>
      <c r="I12" s="13">
        <f>IFERROR(IF(AND(G12&lt;&gt;"",H12&lt;&gt;""),(G12-H12)/G12,""),"")</f>
        <v/>
      </c>
      <c r="J12" s="12" t="n"/>
      <c r="K12" s="13">
        <f>IFERROR(IF(AND(G12&lt;&gt;"",J12&lt;&gt;""),J12/G12,""),"")</f>
        <v/>
      </c>
      <c r="L12" s="30" t="inlineStr">
        <is>
          <t>57% wool
38% polyester
5% other fibres</t>
        </is>
      </c>
      <c r="M12" s="15" t="inlineStr">
        <is>
          <t>https://www.zara.com/us/en/zw-collection-short-wool-coat-p07522244.html</t>
        </is>
      </c>
    </row>
    <row r="13">
      <c r="A13" s="17">
        <f>IF(C13&lt;&gt;"","P"&amp;TEXT(ROW()-2,"00"),"")</f>
        <v/>
      </c>
      <c r="B13" s="29" t="inlineStr">
        <is>
          <t>Manteco</t>
        </is>
      </c>
      <c r="C13" s="30" t="inlineStr">
        <is>
          <t>Zara</t>
        </is>
      </c>
      <c r="D13" s="30" t="inlineStr">
        <is>
          <t>MANTECO® ORIGINS WATER REPELLENT TRENCH COAT</t>
        </is>
      </c>
      <c r="E13" s="30" t="inlineStr">
        <is>
          <t>Coat</t>
        </is>
      </c>
      <c r="F13" s="30" t="inlineStr">
        <is>
          <t>CW26</t>
        </is>
      </c>
      <c r="G13" s="12" t="n">
        <v>229</v>
      </c>
      <c r="H13" s="12" t="n">
        <v>229</v>
      </c>
      <c r="I13" s="13">
        <f>IFERROR(IF(AND(G13&lt;&gt;"",H13&lt;&gt;""),(G13-H13)/G13,""),"")</f>
        <v/>
      </c>
      <c r="J13" s="12" t="n"/>
      <c r="K13" s="13">
        <f>IFERROR(IF(AND(G13&lt;&gt;"",J13&lt;&gt;""),J13/G13,""),"")</f>
        <v/>
      </c>
      <c r="L13" s="30" t="inlineStr">
        <is>
          <t xml:space="preserve">OUTER SHELL
100% cotton
LINING
52% viscose
48% polyester
</t>
        </is>
      </c>
      <c r="M13" s="15" t="inlineStr">
        <is>
          <t>https://www.zara.com/us/en/manteco--origins-water-repellent-trench-coat-p04058500.html</t>
        </is>
      </c>
    </row>
    <row r="14">
      <c r="A14" s="17">
        <f>IF(C14&lt;&gt;"","P"&amp;TEXT(ROW()-2,"00"),"")</f>
        <v/>
      </c>
      <c r="B14" s="29" t="inlineStr">
        <is>
          <t>Control</t>
        </is>
      </c>
      <c r="C14" s="30" t="inlineStr">
        <is>
          <t>Zara</t>
        </is>
      </c>
      <c r="D14" s="30" t="inlineStr">
        <is>
          <t>PARKA TECNICA CON GILET REMOVIBILE</t>
        </is>
      </c>
      <c r="E14" s="30" t="inlineStr">
        <is>
          <t>Coat</t>
        </is>
      </c>
      <c r="F14" s="30" t="inlineStr">
        <is>
          <t>CW26</t>
        </is>
      </c>
      <c r="G14" s="12" t="n">
        <v>139</v>
      </c>
      <c r="H14" s="12" t="n">
        <v>139</v>
      </c>
      <c r="I14" s="13">
        <f>IFERROR(IF(AND(G14&lt;&gt;"",H14&lt;&gt;""),(G14-H14)/G14,""),"")</f>
        <v/>
      </c>
      <c r="J14" s="12" t="n"/>
      <c r="K14" s="13">
        <f>IFERROR(IF(AND(G14&lt;&gt;"",J14&lt;&gt;""),J14/G14,""),"")</f>
        <v/>
      </c>
      <c r="L14" s="30" t="inlineStr">
        <is>
          <t xml:space="preserve">ESTERNO
100% poliammide
FODERA
100% cotone
</t>
        </is>
      </c>
      <c r="M14" s="14" t="inlineStr">
        <is>
          <t>https://www.zara.com/it/it/parka-tecnica-con-gilet-removibile-p03918248.html?v1=503348479</t>
        </is>
      </c>
    </row>
    <row r="15">
      <c r="A15" s="17">
        <f>IF(C15&lt;&gt;"","P"&amp;TEXT(ROW()-2,"00"),"")</f>
        <v/>
      </c>
      <c r="B15" s="29" t="inlineStr">
        <is>
          <t>Control</t>
        </is>
      </c>
      <c r="C15" s="30" t="inlineStr">
        <is>
          <t>MANGO</t>
        </is>
      </c>
      <c r="D15" s="30" t="inlineStr">
        <is>
          <t>CAPPOTTO LANA SPIGATO</t>
        </is>
      </c>
      <c r="E15" s="30" t="inlineStr">
        <is>
          <t>Coat</t>
        </is>
      </c>
      <c r="F15" s="30" t="inlineStr">
        <is>
          <t>CW26</t>
        </is>
      </c>
      <c r="G15" s="12" t="n">
        <v>199.99</v>
      </c>
      <c r="H15" s="12" t="n">
        <v>99.98999999999999</v>
      </c>
      <c r="I15" s="13">
        <f>IFERROR(IF(AND(G15&lt;&gt;"",H15&lt;&gt;""),(G15-H15)/G15,""),"")</f>
        <v/>
      </c>
      <c r="J15" s="12" t="n"/>
      <c r="K15" s="13" t="n"/>
      <c r="L15" s="30" t="inlineStr">
        <is>
          <t>Composizione: 63% lana, 32% poliestere, 2% poliammide, 2% viscosa, 1% acrilico</t>
        </is>
      </c>
      <c r="M15" s="16" t="inlineStr">
        <is>
          <t>https://shop.mango.com/it/it/p/uomo/cappotti/cappotti/cappotto-lana-spigato_27071171</t>
        </is>
      </c>
    </row>
    <row r="16" ht="19.5" customHeight="1" s="90">
      <c r="A16" s="17">
        <f>IF(C16&lt;&gt;"","P"&amp;TEXT(ROW()-2,"00"),"")</f>
        <v/>
      </c>
      <c r="B16" s="29" t="inlineStr">
        <is>
          <t>Control</t>
        </is>
      </c>
      <c r="C16" s="30" t="inlineStr">
        <is>
          <t>MANGO</t>
        </is>
      </c>
      <c r="D16" s="30" t="inlineStr">
        <is>
          <t>Woollen coat with belt</t>
        </is>
      </c>
      <c r="E16" s="30" t="inlineStr">
        <is>
          <t>Coat</t>
        </is>
      </c>
      <c r="F16" s="30" t="inlineStr">
        <is>
          <t>CW26</t>
        </is>
      </c>
      <c r="G16" s="12" t="n">
        <v>429.99</v>
      </c>
      <c r="H16" s="12" t="n">
        <v>269.99</v>
      </c>
      <c r="I16" s="13">
        <f>IFERROR(IF(AND(G16&lt;&gt;"",H16&lt;&gt;""),(G16-H16)/G16,""),"")</f>
        <v/>
      </c>
      <c r="J16" s="12" t="n"/>
      <c r="K16" s="13">
        <f>IFERROR(IF(AND(G16&lt;&gt;"",J16&lt;&gt;""),J16/G16,""),"")</f>
        <v/>
      </c>
      <c r="L16" s="30" t="inlineStr">
        <is>
          <t>78% virgin wool, 22% polyamide</t>
        </is>
      </c>
      <c r="M16" s="14" t="inlineStr">
        <is>
          <t>https://shop.mango.com/us/en/p/women/coats/coats/woollen-coat-with-belt_27044438</t>
        </is>
      </c>
    </row>
    <row r="17">
      <c r="A17" s="17">
        <f>IF(C17&lt;&gt;"","P"&amp;TEXT(ROW()-2,"00"),"")</f>
        <v/>
      </c>
      <c r="B17" s="29" t="inlineStr">
        <is>
          <t>Manteco</t>
        </is>
      </c>
      <c r="C17" s="30" t="inlineStr">
        <is>
          <t>Woolrich</t>
        </is>
      </c>
      <c r="D17" s="30" t="inlineStr">
        <is>
          <t>2-in-1 Sideline Parka in Manteco Recycled Wool Blend</t>
        </is>
      </c>
      <c r="E17" s="30" t="inlineStr">
        <is>
          <t>Coat</t>
        </is>
      </c>
      <c r="F17" s="30" t="inlineStr">
        <is>
          <t>CW26</t>
        </is>
      </c>
      <c r="G17" s="12" t="n">
        <v>1320</v>
      </c>
      <c r="H17" s="12" t="n">
        <v>925</v>
      </c>
      <c r="I17" s="13">
        <f>IFERROR(IF(AND(G17&lt;&gt;"",H17&lt;&gt;""),(G17-H17)/G17,""),"")</f>
        <v/>
      </c>
      <c r="J17" s="12" t="n"/>
      <c r="K17" s="13">
        <f>IFERROR(IF(AND(G17&lt;&gt;"",J17&lt;&gt;""),J17/G17,""),"")</f>
        <v/>
      </c>
      <c r="L17" s="30" t="inlineStr">
        <is>
          <t>40% Wool, 28% Acrylic, 18% Polyester, 14% Polyamide</t>
        </is>
      </c>
      <c r="M17" s="15" t="inlineStr">
        <is>
          <t>https://www.woolrich.com/us/en/2-in-1-sideline-parka-in-manteco-recycled-wool-blend-CFWWOU0944FRUT3492_7391.html</t>
        </is>
      </c>
    </row>
    <row r="18" ht="19.5" customHeight="1" s="90">
      <c r="A18" s="17">
        <f>IF(C18&lt;&gt;"","P"&amp;TEXT(ROW()-2,"00"),"")</f>
        <v/>
      </c>
      <c r="B18" s="29" t="inlineStr">
        <is>
          <t>Control</t>
        </is>
      </c>
      <c r="C18" s="30" t="inlineStr">
        <is>
          <t>Woolrich</t>
        </is>
      </c>
      <c r="D18" s="30" t="inlineStr">
        <is>
          <t>Coat in Recycled Italian Wool Blend</t>
        </is>
      </c>
      <c r="E18" s="30" t="inlineStr">
        <is>
          <t>Coat</t>
        </is>
      </c>
      <c r="F18" s="30" t="inlineStr">
        <is>
          <t>CW26</t>
        </is>
      </c>
      <c r="G18" s="12" t="n">
        <v>1265</v>
      </c>
      <c r="H18" s="12" t="n">
        <v>885</v>
      </c>
      <c r="I18" s="13">
        <f>IFERROR(IF(AND(G18&lt;&gt;"",H18&lt;&gt;""),(G18-H18)/G18,""),"")</f>
        <v/>
      </c>
      <c r="J18" s="12" t="n"/>
      <c r="K18" s="13">
        <f>IFERROR(IF(AND(G18&lt;&gt;"",J18&lt;&gt;""),J18/G18,""),"")</f>
        <v/>
      </c>
      <c r="L18" s="30" t="inlineStr">
        <is>
          <t>75% Wool, 25% Polyamide</t>
        </is>
      </c>
      <c r="M18" s="15" t="inlineStr">
        <is>
          <t>https://www.woolrich.com/us/en/coat-in-recycled-italian-wool-blend-CFWOOU0827MRUT3109_1131.html</t>
        </is>
      </c>
    </row>
    <row r="19">
      <c r="A19" s="17">
        <f>IF(C19&lt;&gt;"","P"&amp;TEXT(ROW()-2,"00"),"")</f>
        <v/>
      </c>
      <c r="B19" s="29" t="inlineStr">
        <is>
          <t>Manteco</t>
        </is>
      </c>
      <c r="C19" s="30" t="inlineStr">
        <is>
          <t>KarenMillen</t>
        </is>
      </c>
      <c r="D19" s="30" t="inlineStr">
        <is>
          <t>Italian Manteco Wool Blend Wrap Belted Tailored Midi Coat</t>
        </is>
      </c>
      <c r="E19" s="30" t="inlineStr">
        <is>
          <t>Coat</t>
        </is>
      </c>
      <c r="F19" s="30" t="inlineStr">
        <is>
          <t>CW26</t>
        </is>
      </c>
      <c r="G19" s="12" t="n">
        <v>188</v>
      </c>
      <c r="H19" s="12" t="n">
        <v>48</v>
      </c>
      <c r="I19" s="13">
        <f>IFERROR(IF(AND(G19&lt;&gt;"",H19&lt;&gt;""),(G19-H19)/G19,""),"")</f>
        <v/>
      </c>
      <c r="J19" s="12" t="n"/>
      <c r="K19" s="13">
        <f>IFERROR(IF(AND(G19&lt;&gt;"",J19&lt;&gt;""),J19/G19,""),"")</f>
        <v/>
      </c>
      <c r="L19" s="30" t="inlineStr">
        <is>
          <t>50% Wool 35% Polyester 15% Polyamide</t>
        </is>
      </c>
      <c r="M19" s="15" t="inlineStr">
        <is>
          <t>https://www.karenmillen.com/product/karen-millen-italian-manteco-wool-blend-wrap-belted-tailored-midi-coat_bkk19128?colour=black</t>
        </is>
      </c>
    </row>
    <row r="20">
      <c r="A20" s="17" t="inlineStr">
        <is>
          <t>P18</t>
        </is>
      </c>
      <c r="B20" s="29" t="inlineStr">
        <is>
          <t>Control</t>
        </is>
      </c>
      <c r="C20" s="30" t="inlineStr">
        <is>
          <t>KarenMillen</t>
        </is>
      </c>
      <c r="D20" s="30" t="inlineStr">
        <is>
          <t>Wool Tailored Flared Skirt Midi Coat</t>
        </is>
      </c>
      <c r="E20" s="30" t="inlineStr">
        <is>
          <t>Coat</t>
        </is>
      </c>
      <c r="F20" s="30" t="inlineStr">
        <is>
          <t>CW26</t>
        </is>
      </c>
      <c r="G20" s="12" t="n">
        <v>509</v>
      </c>
      <c r="H20" s="12" t="n">
        <v>305</v>
      </c>
      <c r="I20" s="13">
        <f>IFERROR(IF(AND(G20&lt;&gt;"",H20&lt;&gt;""),(G20-H20)/G20,""),"")</f>
        <v/>
      </c>
      <c r="J20" s="12" t="n"/>
      <c r="K20" s="13">
        <f>IFERROR(IF(AND(G20&lt;&gt;"",J20&lt;&gt;""),J20/G20,""),"")</f>
        <v/>
      </c>
      <c r="L20" s="30" t="inlineStr">
        <is>
          <t>52% Wool. 40% Polyester. 5% Polyamide. 2% Acrylic. 1% Viscose/Rayon</t>
        </is>
      </c>
      <c r="M20" s="15" t="inlineStr">
        <is>
          <t>https://www.karenmillen.com/product/karen-millen-wool-tailored-flared-skirt-midi-coat_bkk25973?colour=ivory</t>
        </is>
      </c>
    </row>
    <row r="21">
      <c r="A21" s="17">
        <f>IF(C21&lt;&gt;"","P"&amp;TEXT(ROW()-2,"00"),"")</f>
        <v/>
      </c>
      <c r="B21" s="29" t="inlineStr">
        <is>
          <t>Manteco</t>
        </is>
      </c>
      <c r="C21" s="30" t="inlineStr">
        <is>
          <t>Zara</t>
        </is>
      </c>
      <c r="D21" s="30" t="inlineStr">
        <is>
          <t>MANTECO WOOL COAT ZW COLLECTION LIMITED EDITION</t>
        </is>
      </c>
      <c r="E21" s="30" t="inlineStr">
        <is>
          <t>Coat</t>
        </is>
      </c>
      <c r="F21" s="30" t="inlineStr">
        <is>
          <t>CW26</t>
        </is>
      </c>
      <c r="G21" s="12" t="n">
        <v>269</v>
      </c>
      <c r="H21" s="12" t="n">
        <v>269</v>
      </c>
      <c r="I21" s="13">
        <f>IFERROR(IF(AND(G21&lt;&gt;"",H21&lt;&gt;""),(G21-H21)/G21,""),"")</f>
        <v/>
      </c>
      <c r="J21" s="12" t="n"/>
      <c r="K21" s="13">
        <f>IFERROR(IF(AND(G21&lt;&gt;"",J21&lt;&gt;""),J21/G21,""),"")</f>
        <v/>
      </c>
      <c r="L21" s="30" t="inlineStr">
        <is>
          <t>42% wool
31% lyocell
25% polyamide
2% other fibres</t>
        </is>
      </c>
      <c r="M21" s="16" t="inlineStr">
        <is>
          <t>MANTECO WOOL COAT ZW COLLECTION LIMITED EDITION - Brown / Taupe | ZARA United States</t>
        </is>
      </c>
    </row>
    <row r="22">
      <c r="A22" s="17">
        <f>IF(C22&lt;&gt;"","P"&amp;TEXT(ROW()-2,"00"),"")</f>
        <v/>
      </c>
      <c r="B22" s="29" t="inlineStr">
        <is>
          <t>Control</t>
        </is>
      </c>
      <c r="C22" s="30" t="inlineStr">
        <is>
          <t>Zara</t>
        </is>
      </c>
      <c r="D22" s="30" t="inlineStr">
        <is>
          <t>CAPPOTTO DOPPIOPETTO MISTO LANA CON CINTURA</t>
        </is>
      </c>
      <c r="E22" s="30" t="inlineStr">
        <is>
          <t>Coat</t>
        </is>
      </c>
      <c r="F22" s="30" t="inlineStr">
        <is>
          <t>CW26</t>
        </is>
      </c>
      <c r="G22" s="12" t="n">
        <v>99.95</v>
      </c>
      <c r="H22" s="12" t="n">
        <v>99.95</v>
      </c>
      <c r="I22" s="13">
        <f>IFERROR(IF(AND(G22&lt;&gt;"",H22&lt;&gt;""),(G22-H22)/G22,""),"")</f>
        <v/>
      </c>
      <c r="J22" s="12" t="n"/>
      <c r="K22" s="13">
        <f>IFERROR(IF(AND(G22&lt;&gt;"",J22&lt;&gt;""),J22/G22,""),"")</f>
        <v/>
      </c>
      <c r="L22" s="30" t="inlineStr">
        <is>
          <t xml:space="preserve">ESTERNO
57% poliestere
41% lana
2% altre fibre
</t>
        </is>
      </c>
      <c r="M22" s="15" t="inlineStr">
        <is>
          <t>https://www.zara.com/it/it/cappotto-doppiopetto-misto-lana-con-cintura-p02949150.html?v1=497563430&amp;v2=2436891</t>
        </is>
      </c>
    </row>
    <row r="23">
      <c r="A23" s="17">
        <f>IF(C23&lt;&gt;"","P"&amp;TEXT(ROW()-2,"00"),"")</f>
        <v/>
      </c>
      <c r="B23" s="29" t="inlineStr">
        <is>
          <t>Manteco</t>
        </is>
      </c>
      <c r="C23" s="30" t="inlineStr">
        <is>
          <t>Harrods</t>
        </is>
      </c>
      <c r="D23" s="30" t="inlineStr">
        <is>
          <t>Wool-Blend Overcoat</t>
        </is>
      </c>
      <c r="E23" s="30" t="inlineStr">
        <is>
          <t>Coat</t>
        </is>
      </c>
      <c r="F23" s="30" t="inlineStr">
        <is>
          <t>CW26</t>
        </is>
      </c>
      <c r="G23" s="12" t="inlineStr">
        <is>
          <t>£720</t>
        </is>
      </c>
      <c r="H23" s="12" t="inlineStr">
        <is>
          <t>£720</t>
        </is>
      </c>
      <c r="I23" s="18" t="n">
        <v>0</v>
      </c>
      <c r="J23" s="12" t="n"/>
      <c r="K23" s="13">
        <f>IFERROR(IF(AND(G23&lt;&gt;"",J23&lt;&gt;""),J23/G23,""),"")</f>
        <v/>
      </c>
      <c r="L23" s="30" t="inlineStr">
        <is>
          <t>70% Recycled Wool
30% Recycled Polyamide</t>
        </is>
      </c>
      <c r="M23" s="14" t="inlineStr">
        <is>
          <t>https://www.harrods.com/en-it/p/samsoe-samsoe-wool-blend-overcoat-000000000007888237</t>
        </is>
      </c>
    </row>
    <row r="24" ht="19.5" customHeight="1" s="90">
      <c r="A24" s="17">
        <f>IF(C24&lt;&gt;"","P"&amp;TEXT(ROW()-2,"00"),"")</f>
        <v/>
      </c>
      <c r="B24" s="29" t="inlineStr">
        <is>
          <t>Control</t>
        </is>
      </c>
      <c r="C24" s="30" t="inlineStr">
        <is>
          <t>Toteme</t>
        </is>
      </c>
      <c r="D24" s="30" t="inlineStr">
        <is>
          <t>double-breasted wool coat</t>
        </is>
      </c>
      <c r="E24" s="30" t="inlineStr">
        <is>
          <t>Coat</t>
        </is>
      </c>
      <c r="F24" s="30" t="inlineStr">
        <is>
          <t>CW26</t>
        </is>
      </c>
      <c r="G24" s="12" t="inlineStr">
        <is>
          <t>£1162</t>
        </is>
      </c>
      <c r="H24" s="12" t="inlineStr">
        <is>
          <t>£1162</t>
        </is>
      </c>
      <c r="I24" s="18" t="n">
        <v>0</v>
      </c>
      <c r="J24" s="12" t="n"/>
      <c r="K24" s="13">
        <f>IFERROR(IF(AND(G24&lt;&gt;"",J24&lt;&gt;""),J24/G24,""),"")</f>
        <v/>
      </c>
      <c r="L24" s="30" t="inlineStr">
        <is>
          <t>Wool 70%, Polyamide 25%</t>
        </is>
      </c>
      <c r="M24" s="14" t="inlineStr">
        <is>
          <t>https://www.farfetch.com/ro/shopping/women/toteme-double-breasted-wool-coat-item-32435140.aspx</t>
        </is>
      </c>
    </row>
    <row r="25" ht="19.5" customHeight="1" s="90">
      <c r="A25" s="17">
        <f>IF(C25&lt;&gt;"","P"&amp;TEXT(ROW()-2,"00"),"")</f>
        <v/>
      </c>
      <c r="B25" s="29" t="inlineStr">
        <is>
          <t>Manteco</t>
        </is>
      </c>
      <c r="C25" s="30" t="inlineStr">
        <is>
          <t>Degliuberti</t>
        </is>
      </c>
      <c r="D25" s="30" t="inlineStr">
        <is>
          <t>Installation Coat</t>
        </is>
      </c>
      <c r="E25" s="30" t="inlineStr">
        <is>
          <t>Coat</t>
        </is>
      </c>
      <c r="F25" s="30" t="inlineStr">
        <is>
          <t>CW26</t>
        </is>
      </c>
      <c r="G25" s="12" t="inlineStr">
        <is>
          <t>£850</t>
        </is>
      </c>
      <c r="H25" s="12" t="inlineStr">
        <is>
          <t>£680</t>
        </is>
      </c>
      <c r="I25" s="13" t="n">
        <v>0.2</v>
      </c>
      <c r="J25" s="12" t="n"/>
      <c r="K25" s="13">
        <f>IFERROR(IF(AND(G25&lt;&gt;"",J25&lt;&gt;""),J25/G25,""),"")</f>
        <v/>
      </c>
      <c r="L25" s="30" t="inlineStr">
        <is>
          <t>100% recycled wool</t>
        </is>
      </c>
      <c r="M25" s="15" t="inlineStr">
        <is>
          <t>https://degliubertistore.com/products/installation-coat</t>
        </is>
      </c>
    </row>
    <row r="26">
      <c r="A26" s="17">
        <f>IF(C26&lt;&gt;"","P"&amp;TEXT(ROW()-2,"00"),"")</f>
        <v/>
      </c>
      <c r="B26" s="29" t="inlineStr">
        <is>
          <t>Control</t>
        </is>
      </c>
      <c r="C26" s="30" t="inlineStr">
        <is>
          <t>DE BONNE FACTURE</t>
        </is>
      </c>
      <c r="D26" s="30" t="inlineStr">
        <is>
          <t>Camargue Wool Coat</t>
        </is>
      </c>
      <c r="E26" s="30" t="inlineStr">
        <is>
          <t>Coat</t>
        </is>
      </c>
      <c r="F26" s="30" t="inlineStr">
        <is>
          <t>CW26</t>
        </is>
      </c>
      <c r="G26" s="12" t="inlineStr">
        <is>
          <t>£995</t>
        </is>
      </c>
      <c r="H26" s="12" t="inlineStr">
        <is>
          <t>£995</t>
        </is>
      </c>
      <c r="I26" s="13" t="n">
        <v>0</v>
      </c>
      <c r="J26" s="12" t="n"/>
      <c r="K26" s="13">
        <f>IFERROR(IF(AND(G26&lt;&gt;"",J26&lt;&gt;""),J26/G26,""),"")</f>
        <v/>
      </c>
      <c r="L26" s="30" t="inlineStr">
        <is>
          <t>100% wool</t>
        </is>
      </c>
      <c r="M26" s="14" t="inlineStr">
        <is>
          <t>https://www.mrporter.com/en-it/mens/product/de-bonne-facture/clothing/winter-coats/camargue-wool-coat/46376663162915350</t>
        </is>
      </c>
    </row>
    <row r="27" ht="19.5" customHeight="1" s="90">
      <c r="A27" s="17">
        <f>IF(C27&lt;&gt;"","P"&amp;TEXT(ROW()-2,"00"),"")</f>
        <v/>
      </c>
      <c r="B27" s="29" t="inlineStr">
        <is>
          <t>Manteco</t>
        </is>
      </c>
      <c r="C27" s="30" t="inlineStr">
        <is>
          <t>Isto</t>
        </is>
      </c>
      <c r="D27" s="30" t="inlineStr">
        <is>
          <t>RECYCLED WOOL WORK JACKET</t>
        </is>
      </c>
      <c r="E27" s="30" t="inlineStr">
        <is>
          <t>Coat</t>
        </is>
      </c>
      <c r="F27" s="30" t="inlineStr">
        <is>
          <t>CW26</t>
        </is>
      </c>
      <c r="G27" s="12" t="n">
        <v>300</v>
      </c>
      <c r="H27" s="12" t="n">
        <v>150</v>
      </c>
      <c r="I27" s="13">
        <f>IFERROR(IF(AND(G27&lt;&gt;"",H27&lt;&gt;""),(G27-H27)/G27,""),"")</f>
        <v/>
      </c>
      <c r="J27" s="12" t="n"/>
      <c r="K27" s="13">
        <f>IFERROR(IF(AND(G27&lt;&gt;"",J27&lt;&gt;""),J27/G27,""),"")</f>
        <v/>
      </c>
      <c r="L27" s="30" t="inlineStr">
        <is>
          <t>100% Recycled Wool</t>
        </is>
      </c>
      <c r="M27" s="14" t="inlineStr">
        <is>
          <t>https://isto.pt/products/recycled-wool-work-jacket-navy?country=US</t>
        </is>
      </c>
    </row>
    <row r="28" ht="19.5" customHeight="1" s="90">
      <c r="A28" s="17">
        <f>IF(C28&lt;&gt;"","P"&amp;TEXT(ROW()-2,"00"),"")</f>
        <v/>
      </c>
      <c r="B28" s="29" t="inlineStr">
        <is>
          <t>Control</t>
        </is>
      </c>
      <c r="C28" s="30" t="inlineStr">
        <is>
          <t>Frame</t>
        </is>
      </c>
      <c r="D28" s="30" t="inlineStr">
        <is>
          <t>Wool Chore Jacket</t>
        </is>
      </c>
      <c r="E28" s="30" t="inlineStr">
        <is>
          <t>Coat</t>
        </is>
      </c>
      <c r="F28" s="30" t="inlineStr">
        <is>
          <t>CW26</t>
        </is>
      </c>
      <c r="G28" s="12" t="n">
        <v>650</v>
      </c>
      <c r="H28" s="12" t="n">
        <v>325</v>
      </c>
      <c r="I28" s="13">
        <f>IFERROR(IF(AND(G28&lt;&gt;"",H28&lt;&gt;""),(G28-H28)/G28,""),"")</f>
        <v/>
      </c>
      <c r="J28" s="12" t="n"/>
      <c r="K28" s="13">
        <f>IFERROR(IF(AND(G28&lt;&gt;"",J28&lt;&gt;""),J28/G28,""),"")</f>
        <v/>
      </c>
      <c r="L28" s="30" t="inlineStr">
        <is>
          <t>100% wool</t>
        </is>
      </c>
      <c r="M28" s="14" t="inlineStr">
        <is>
          <t>https://www.mrporter.com/en-us/mens/product/frame/clothing/lightweight-waterproof-jackets/wool-chore-jacket/1647597356004941</t>
        </is>
      </c>
    </row>
    <row r="29" ht="19.5" customHeight="1" s="90">
      <c r="A29" s="17">
        <f>IF(C29&lt;&gt;"","P"&amp;TEXT(ROW()-2,"00"),"")</f>
        <v/>
      </c>
      <c r="B29" s="29" t="inlineStr">
        <is>
          <t>Manteco</t>
        </is>
      </c>
      <c r="C29" s="30" t="inlineStr">
        <is>
          <t>Zero Barra Cento</t>
        </is>
      </c>
      <c r="D29" s="30" t="inlineStr">
        <is>
          <t>Soft Short Recycled Wool Trench Coat</t>
        </is>
      </c>
      <c r="E29" s="30" t="inlineStr">
        <is>
          <t>Coat</t>
        </is>
      </c>
      <c r="F29" s="30" t="inlineStr">
        <is>
          <t>CW26</t>
        </is>
      </c>
      <c r="G29" s="12" t="n">
        <v>466.56</v>
      </c>
      <c r="H29" s="12" t="n">
        <v>466.56</v>
      </c>
      <c r="I29" s="13">
        <f>IFERROR(IF(AND(G29&lt;&gt;"",H29&lt;&gt;""),(G29-H29)/G29,""),"")</f>
        <v/>
      </c>
      <c r="J29" s="12" t="n"/>
      <c r="K29" s="13">
        <f>IFERROR(IF(AND(G29&lt;&gt;"",J29&lt;&gt;""),J29/G29,""),"")</f>
        <v/>
      </c>
      <c r="L29" s="30" t="inlineStr">
        <is>
          <t>70% wool, 30% polyamide</t>
        </is>
      </c>
      <c r="M29" s="14" t="inlineStr">
        <is>
          <t>https://zerobarracento.com/products/soft-short-recycled-wool-trench-coat</t>
        </is>
      </c>
    </row>
    <row r="30">
      <c r="A30" s="17">
        <f>IF(C30&lt;&gt;"","P"&amp;TEXT(ROW()-2,"00"),"")</f>
        <v/>
      </c>
      <c r="B30" s="29" t="inlineStr">
        <is>
          <t>Control</t>
        </is>
      </c>
      <c r="C30" s="30" t="inlineStr">
        <is>
          <t>Officine Generale</t>
        </is>
      </c>
      <c r="D30" s="30" t="inlineStr">
        <is>
          <t>Aretha Coat</t>
        </is>
      </c>
      <c r="E30" s="30" t="inlineStr">
        <is>
          <t>Coat</t>
        </is>
      </c>
      <c r="F30" s="30" t="inlineStr">
        <is>
          <t>CW26</t>
        </is>
      </c>
      <c r="G30" s="12" t="inlineStr">
        <is>
          <t>£903</t>
        </is>
      </c>
      <c r="H30" s="12" t="inlineStr">
        <is>
          <t>£495</t>
        </is>
      </c>
      <c r="I30" s="13" t="n">
        <v>0.451827242524917</v>
      </c>
      <c r="J30" s="12" t="n"/>
      <c r="K30" s="13">
        <f>IFERROR(IF(AND(G30&lt;&gt;"",J30&lt;&gt;""),J30/G30,""),"")</f>
        <v/>
      </c>
      <c r="L30" s="30" t="inlineStr">
        <is>
          <t>Virgin Wool 60%, Polyester 20%, Polyamide 15%, other fibers 5%</t>
        </is>
      </c>
      <c r="M30" s="14" t="inlineStr">
        <is>
          <t>https://www.farfetch.com/cz/shopping/women/officine-generale-aretha-coat-item-25126877.aspx</t>
        </is>
      </c>
    </row>
    <row r="31" ht="24" customHeight="1" s="90">
      <c r="A31" s="17" t="inlineStr">
        <is>
          <t>P29</t>
        </is>
      </c>
      <c r="B31" s="29" t="inlineStr">
        <is>
          <t>Manteco</t>
        </is>
      </c>
      <c r="C31" s="30" t="inlineStr">
        <is>
          <t>Aritzia</t>
        </is>
      </c>
      <c r="D31" s="30" t="inlineStr">
        <is>
          <t>Portfolio Double Face Coat</t>
        </is>
      </c>
      <c r="E31" s="30" t="inlineStr">
        <is>
          <t>Coat</t>
        </is>
      </c>
      <c r="F31" s="30" t="inlineStr">
        <is>
          <t>CW26</t>
        </is>
      </c>
      <c r="G31" s="12" t="n">
        <v>378</v>
      </c>
      <c r="H31" s="12" t="n">
        <v>118</v>
      </c>
      <c r="I31" s="13" t="n">
        <v>0.6878306878306878</v>
      </c>
      <c r="J31" s="12" t="n"/>
      <c r="K31" s="13">
        <f>IFERROR(IF(AND(G31&lt;&gt;"",J31&lt;&gt;""),J31/G31,""),"")</f>
        <v/>
      </c>
      <c r="L31" s="30" t="inlineStr">
        <is>
          <t>98% wool, 2% other fibres; Sleeve Lining: 100% cupro</t>
        </is>
      </c>
      <c r="M31" s="15" t="inlineStr">
        <is>
          <t>https://www.aritzia.com/intl/en/product/portfolio-double-face-coat/111630.html?color=4425</t>
        </is>
      </c>
    </row>
    <row r="32" ht="19.5" customHeight="1" s="90">
      <c r="A32" s="17" t="inlineStr">
        <is>
          <t>P30</t>
        </is>
      </c>
      <c r="B32" s="29" t="inlineStr">
        <is>
          <t>Control</t>
        </is>
      </c>
      <c r="C32" s="30" t="inlineStr">
        <is>
          <t>Universal Standard</t>
        </is>
      </c>
      <c r="D32" s="30" t="inlineStr">
        <is>
          <t>Double Face Luxe Coat</t>
        </is>
      </c>
      <c r="E32" s="30" t="inlineStr">
        <is>
          <t>Coat</t>
        </is>
      </c>
      <c r="F32" s="30" t="inlineStr">
        <is>
          <t>CW26</t>
        </is>
      </c>
      <c r="G32" s="12" t="n">
        <v>388</v>
      </c>
      <c r="H32" s="12" t="n">
        <v>155</v>
      </c>
      <c r="I32" s="13">
        <f>IFERROR(IF(AND(G32&lt;&gt;"",H32&lt;&gt;""),(G32-H32)/G32,""),"")</f>
        <v/>
      </c>
      <c r="J32" s="12" t="n"/>
      <c r="K32" s="13">
        <f>IFERROR(IF(AND(G32&lt;&gt;"",J32&lt;&gt;""),J32/G32,""),"")</f>
        <v/>
      </c>
      <c r="L32" s="30" t="inlineStr">
        <is>
          <t>50% Wool 50% Polyester</t>
        </is>
      </c>
      <c r="M32" s="14" t="inlineStr">
        <is>
          <t>https://www.universalstandard.com/products/double-face-luxe-coat-black?srsltid=AfmBOopj1J3srOFjBCEJsvZeSOjm57EI1IEMRTLMLBmFJ3PIoybvQFGB#:~:text=Fabric</t>
        </is>
      </c>
    </row>
    <row r="33" ht="36" customHeight="1" s="90">
      <c r="A33" s="17" t="inlineStr">
        <is>
          <t>P31</t>
        </is>
      </c>
      <c r="B33" s="29" t="inlineStr">
        <is>
          <t>Manteco</t>
        </is>
      </c>
      <c r="C33" s="30" t="inlineStr">
        <is>
          <t>Cyrillus</t>
        </is>
      </c>
      <c r="D33" s="30" t="inlineStr">
        <is>
          <t>MANTEAU CABAN LAINAGE UNI FEMME</t>
        </is>
      </c>
      <c r="E33" s="30" t="inlineStr">
        <is>
          <t>Coat</t>
        </is>
      </c>
      <c r="F33" s="30" t="inlineStr">
        <is>
          <t>CW26</t>
        </is>
      </c>
      <c r="G33" s="12" t="n">
        <v>300</v>
      </c>
      <c r="H33" s="12" t="n">
        <v>300</v>
      </c>
      <c r="I33" s="13">
        <f>IFERROR(IF(AND(G33&lt;&gt;"",H33&lt;&gt;""),(G33-H33)/G33,""),"")</f>
        <v/>
      </c>
      <c r="J33" s="12" t="n"/>
      <c r="K33" s="13">
        <f>IFERROR(IF(AND(G33&lt;&gt;"",J33&lt;&gt;""),J33/G33,""),"")</f>
        <v/>
      </c>
      <c r="L33" s="30" t="inlineStr">
        <is>
          <t>Lainage 70% laine recyclée, 30% polyamide. Doublure 100% polyester recyclé.</t>
        </is>
      </c>
      <c r="M33" s="14" t="inlineStr">
        <is>
          <t>https://cyrillus.com/products/manteau-manteau-gris-chine-fonce_7033</t>
        </is>
      </c>
    </row>
    <row r="34" ht="19.5" customHeight="1" s="90">
      <c r="A34" s="17" t="inlineStr">
        <is>
          <t>P32</t>
        </is>
      </c>
      <c r="B34" s="29" t="inlineStr">
        <is>
          <t>Control</t>
        </is>
      </c>
      <c r="C34" s="30" t="inlineStr">
        <is>
          <t>Vestiere Collective</t>
        </is>
      </c>
      <c r="D34" s="30" t="inlineStr">
        <is>
          <t xml:space="preserve">Massimo Dutti-Capotto in lana </t>
        </is>
      </c>
      <c r="E34" s="30" t="inlineStr">
        <is>
          <t>Coat</t>
        </is>
      </c>
      <c r="F34" s="30" t="inlineStr">
        <is>
          <t>FW25</t>
        </is>
      </c>
      <c r="G34" s="12" t="n">
        <v>434</v>
      </c>
      <c r="H34" s="12" t="n">
        <v>434</v>
      </c>
      <c r="I34" s="13">
        <f>IFERROR(IF(AND(G34&lt;&gt;"",H34&lt;&gt;""),(G34-H34)/G34,""),"")</f>
        <v/>
      </c>
      <c r="J34" s="12" t="n"/>
      <c r="K34" s="13">
        <f>IFERROR(IF(AND(G34&lt;&gt;"",J34&lt;&gt;""),J34/G34,""),"")</f>
        <v/>
      </c>
      <c r="L34" s="30" t="inlineStr">
        <is>
          <t>70% wool, 30% polyamide</t>
        </is>
      </c>
      <c r="M34" s="14" t="inlineStr">
        <is>
          <t>https://it.vestiairecollective.com/donna-abbigliamento/cappotti/massimo-dutti/cappotti-massimo-dutti-rosa-lana-54936609.shtml</t>
        </is>
      </c>
    </row>
    <row r="35" ht="27.75" customHeight="1" s="90">
      <c r="A35" s="17" t="inlineStr">
        <is>
          <t>P33</t>
        </is>
      </c>
      <c r="B35" s="29" t="inlineStr">
        <is>
          <t>Manteco</t>
        </is>
      </c>
      <c r="C35" s="30" t="inlineStr">
        <is>
          <t>COS</t>
        </is>
      </c>
      <c r="D35" s="30" t="inlineStr">
        <is>
          <t>WOOL-BLEND LONG TRENCH COAT</t>
        </is>
      </c>
      <c r="E35" s="30" t="inlineStr">
        <is>
          <t>Trench</t>
        </is>
      </c>
      <c r="F35" s="30" t="inlineStr">
        <is>
          <t>FW25</t>
        </is>
      </c>
      <c r="G35" s="12" t="n">
        <v>299</v>
      </c>
      <c r="H35" s="12" t="n">
        <v>299</v>
      </c>
      <c r="I35" s="13">
        <f>IFERROR(IF(AND(G35&lt;&gt;"",H35&lt;&gt;""),(G35-H35)/G35,""),"")</f>
        <v/>
      </c>
      <c r="J35" s="12" t="n"/>
      <c r="K35" s="13">
        <f>IFERROR(IF(AND(G35&lt;&gt;"",J35&lt;&gt;""),J35/G35,""),"")</f>
        <v/>
      </c>
      <c r="L35" s="30" t="inlineStr">
        <is>
          <t>70% Recycled wool, 30% Recycled polyamide (Recycled nylon). Lining: 100% Viscose</t>
        </is>
      </c>
      <c r="M35" s="15" t="inlineStr">
        <is>
          <t>https://www.cos.com/en-eu/women/womenswear/coatsjackets/coats/product/wool-blend-trench-coat-navy-1308449002</t>
        </is>
      </c>
    </row>
    <row r="36" ht="26.25" customHeight="1" s="90">
      <c r="A36" s="17" t="inlineStr">
        <is>
          <t>P34</t>
        </is>
      </c>
      <c r="B36" s="29" t="inlineStr">
        <is>
          <t>Manteco</t>
        </is>
      </c>
      <c r="C36" s="30" t="inlineStr">
        <is>
          <t>COS</t>
        </is>
      </c>
      <c r="D36" s="30" t="inlineStr">
        <is>
          <t>OVERSIZED DOUBLE-BREASTED WOOL LONG COAT</t>
        </is>
      </c>
      <c r="E36" s="30" t="inlineStr">
        <is>
          <t>Coat</t>
        </is>
      </c>
      <c r="F36" s="30" t="inlineStr">
        <is>
          <t>CW26</t>
        </is>
      </c>
      <c r="G36" s="12" t="n">
        <v>449</v>
      </c>
      <c r="H36" s="12" t="n">
        <v>449</v>
      </c>
      <c r="I36" s="13">
        <f>IFERROR(IF(AND(G36&lt;&gt;"",H36&lt;&gt;""),(G36-H36)/G36,""),"")</f>
        <v/>
      </c>
      <c r="J36" s="12" t="n"/>
      <c r="K36" s="13">
        <f>IFERROR(IF(AND(G36&lt;&gt;"",J36&lt;&gt;""),J36/G36,""),"")</f>
        <v/>
      </c>
      <c r="L36" s="30" t="inlineStr">
        <is>
          <t>75% Recycled wool, 25% Recycled polyamide (Recycled nylon).</t>
        </is>
      </c>
      <c r="M36" s="15" t="inlineStr">
        <is>
          <t>https://www.cos.com/en-us/women/womenswear/coatsjackets/coats/product/oversized-double-breasted-wool-coat-camel-1298577004</t>
        </is>
      </c>
    </row>
    <row r="37" ht="27" customHeight="1" s="90">
      <c r="A37" s="17" t="inlineStr">
        <is>
          <t>P35</t>
        </is>
      </c>
      <c r="B37" s="29" t="inlineStr">
        <is>
          <t>Manteco</t>
        </is>
      </c>
      <c r="C37" s="30" t="inlineStr">
        <is>
          <t>Fortela</t>
        </is>
      </c>
      <c r="D37" s="30" t="inlineStr">
        <is>
          <t>Fortela Winston Double-Breasted Checked Wool Coat</t>
        </is>
      </c>
      <c r="E37" s="30" t="inlineStr">
        <is>
          <t>Coat</t>
        </is>
      </c>
      <c r="F37" s="30" t="inlineStr">
        <is>
          <t>CW26</t>
        </is>
      </c>
      <c r="G37" s="12" t="n">
        <v>1740</v>
      </c>
      <c r="H37" s="12" t="n">
        <v>1740</v>
      </c>
      <c r="I37" s="13">
        <f>IFERROR(IF(AND(G37&lt;&gt;"",H37&lt;&gt;""),(G37-H37)/G37,""),"")</f>
        <v/>
      </c>
      <c r="J37" s="12" t="n"/>
      <c r="K37" s="13">
        <f>IFERROR(IF(AND(G37&lt;&gt;"",J37&lt;&gt;""),J37/G37,""),"")</f>
        <v/>
      </c>
      <c r="L37" s="30" t="inlineStr">
        <is>
          <t>70% wool, 30% polyamide</t>
        </is>
      </c>
      <c r="M37" s="14" t="inlineStr">
        <is>
          <t>https://www.thecoolhour.com/products/fortela-winston-double-breasted-checked-wool-coat/#:~:text=%2A%2070,wearing%20size%2050</t>
        </is>
      </c>
    </row>
    <row r="38" ht="24.75" customHeight="1" s="90">
      <c r="A38" s="17" t="inlineStr">
        <is>
          <t>P36</t>
        </is>
      </c>
      <c r="B38" s="29" t="inlineStr">
        <is>
          <t>Control</t>
        </is>
      </c>
      <c r="C38" s="30" t="inlineStr">
        <is>
          <t>Dries Van Noten</t>
        </is>
      </c>
      <c r="D38" s="30" t="inlineStr">
        <is>
          <t>Black Wool Coat</t>
        </is>
      </c>
      <c r="E38" s="30" t="inlineStr">
        <is>
          <t>Coat</t>
        </is>
      </c>
      <c r="F38" s="30" t="inlineStr">
        <is>
          <t>CW26</t>
        </is>
      </c>
      <c r="G38" s="12" t="n">
        <v>2235</v>
      </c>
      <c r="H38" s="12" t="n">
        <v>782</v>
      </c>
      <c r="I38" s="13">
        <f>IFERROR(IF(AND(G38&lt;&gt;"",H38&lt;&gt;""),(G38-H38)/G38,""),"")</f>
        <v/>
      </c>
      <c r="J38" s="12" t="n"/>
      <c r="K38" s="13">
        <f>IFERROR(IF(AND(G38&lt;&gt;"",J38&lt;&gt;""),J38/G38,""),"")</f>
        <v/>
      </c>
      <c r="L38" s="30" t="inlineStr">
        <is>
          <t>70% wool, 30% polyamide. Lining 1: 100% viscose.</t>
        </is>
      </c>
      <c r="M38" s="14" t="inlineStr">
        <is>
          <t>https://www.ssense.com/en-us/women/product/dries-van-noten/black-wool-coat/18387891</t>
        </is>
      </c>
    </row>
    <row r="39">
      <c r="A39" s="17" t="inlineStr">
        <is>
          <t>P37</t>
        </is>
      </c>
      <c r="B39" s="29" t="inlineStr">
        <is>
          <t>Control</t>
        </is>
      </c>
      <c r="C39" s="30" t="inlineStr">
        <is>
          <t>NN07</t>
        </is>
      </c>
      <c r="D39" s="30" t="inlineStr">
        <is>
          <t>Alban 8447 Wool-Blend Felt Jacket</t>
        </is>
      </c>
      <c r="E39" s="30" t="inlineStr">
        <is>
          <t>Jacket</t>
        </is>
      </c>
      <c r="F39" s="30" t="inlineStr">
        <is>
          <t>CW26</t>
        </is>
      </c>
      <c r="G39" s="12" t="n">
        <v>530</v>
      </c>
      <c r="H39" s="12" t="n">
        <v>530</v>
      </c>
      <c r="I39" s="13">
        <f>IFERROR(IF(AND(G39&lt;&gt;"",H39&lt;&gt;""),(G39-H39)/G39,""),"")</f>
        <v/>
      </c>
      <c r="J39" s="12" t="n"/>
      <c r="K39" s="13">
        <f>IFERROR(IF(AND(G39&lt;&gt;"",J39&lt;&gt;""),J39/G39,""),"")</f>
        <v/>
      </c>
      <c r="L39" s="30" t="inlineStr">
        <is>
          <t>70% wool, 30% recycled polyester</t>
        </is>
      </c>
      <c r="M39" s="14" t="inlineStr">
        <is>
          <t>https://www.mrporter.com/en-us/mens/product/nn07/clothing/lightweight-waterproof-jackets/alban-8447-wool-blend-felt-jacket/46376663163026302?cm_mmc=PartnerizeAM-_-clothbase-_-Brand-_-1100l22433&amp;utm_source=partnerize&amp;utm_medium=affiliation&amp;utm_campaign=xq_1100l22433&amp;utm_content=clothbase&amp;clickref=&amp;adj_t=19hgz889&amp;adj_campaign=xq_1100l22433</t>
        </is>
      </c>
    </row>
    <row r="40" ht="19.5" customHeight="1" s="90">
      <c r="A40" s="17" t="inlineStr">
        <is>
          <t>P38</t>
        </is>
      </c>
      <c r="B40" s="29" t="inlineStr">
        <is>
          <t>Control</t>
        </is>
      </c>
      <c r="C40" s="30" t="inlineStr">
        <is>
          <t>Closed</t>
        </is>
      </c>
      <c r="D40" s="30" t="inlineStr">
        <is>
          <t>Classic wool-blend coat</t>
        </is>
      </c>
      <c r="E40" s="30" t="inlineStr">
        <is>
          <t>Coat</t>
        </is>
      </c>
      <c r="F40" s="30" t="inlineStr">
        <is>
          <t>CW26</t>
        </is>
      </c>
      <c r="G40" s="12" t="n">
        <v>650</v>
      </c>
      <c r="H40" s="12" t="n">
        <v>325</v>
      </c>
      <c r="I40" s="13">
        <f>IFERROR(IF(AND(G40&lt;&gt;"",H40&lt;&gt;""),(G40-H40)/G40,""),"")</f>
        <v/>
      </c>
      <c r="J40" s="12" t="n"/>
      <c r="K40" s="13">
        <f>IFERROR(IF(AND(G40&lt;&gt;"",J40&lt;&gt;""),J40/G40,""),"")</f>
        <v/>
      </c>
      <c r="L40" s="30" t="inlineStr">
        <is>
          <t>70% wool (recycled), 30% nylon</t>
        </is>
      </c>
      <c r="M40" s="14" t="inlineStr">
        <is>
          <t>https://www.closed.com/en/products/women-jackets-and-coats-classic-wool-blend-coat-silt-grey-c97230-66s-22-198.html</t>
        </is>
      </c>
    </row>
    <row r="41" ht="24" customHeight="1" s="90">
      <c r="A41" s="17" t="inlineStr">
        <is>
          <t>P39</t>
        </is>
      </c>
      <c r="B41" s="29" t="inlineStr">
        <is>
          <t>Control</t>
        </is>
      </c>
      <c r="C41" s="30" t="inlineStr">
        <is>
          <t>Bellerose</t>
        </is>
      </c>
      <c r="D41" s="30" t="inlineStr">
        <is>
          <t>DATAIR ANGORA-BLEND CARDIGAN</t>
        </is>
      </c>
      <c r="E41" s="30" t="inlineStr">
        <is>
          <t>Knitwear</t>
        </is>
      </c>
      <c r="F41" s="30" t="inlineStr">
        <is>
          <t>CW26</t>
        </is>
      </c>
      <c r="G41" s="12" t="n">
        <v>179</v>
      </c>
      <c r="H41" s="12" t="n">
        <v>179</v>
      </c>
      <c r="I41" s="13">
        <f>IFERROR(IF(AND(G41&lt;&gt;"",H41&lt;&gt;""),(G41-H41)/G41,""),"")</f>
        <v/>
      </c>
      <c r="J41" s="12" t="n"/>
      <c r="K41" s="13">
        <f>IFERROR(IF(AND(G41&lt;&gt;"",J41&lt;&gt;""),J41/G41,""),"")</f>
        <v/>
      </c>
      <c r="L41" s="30" t="inlineStr">
        <is>
          <t>65% Angora / 35% Polyamide / Nylon</t>
        </is>
      </c>
      <c r="M41" s="14" t="inlineStr">
        <is>
          <t>https://bellerose.com/products/women-knitwear-datair-parchemin#:~:text=%2A%20Shell%20fabric%20%3A%2065,Polyamide%20%2F%20Nylon</t>
        </is>
      </c>
    </row>
    <row r="42" ht="24" customHeight="1" s="90">
      <c r="A42" s="17" t="inlineStr">
        <is>
          <t>P40</t>
        </is>
      </c>
      <c r="B42" s="29" t="inlineStr">
        <is>
          <t>Control</t>
        </is>
      </c>
      <c r="C42" s="30" t="inlineStr">
        <is>
          <t>Arket</t>
        </is>
      </c>
      <c r="D42" s="30" t="inlineStr">
        <is>
          <t>WOOL-ALPACA BLEND COAT</t>
        </is>
      </c>
      <c r="E42" s="30" t="inlineStr">
        <is>
          <t>Coat</t>
        </is>
      </c>
      <c r="F42" s="30" t="inlineStr">
        <is>
          <t>CW26</t>
        </is>
      </c>
      <c r="G42" s="12" t="n">
        <v>379</v>
      </c>
      <c r="H42" s="12" t="n">
        <v>379</v>
      </c>
      <c r="I42" s="13">
        <f>IFERROR(IF(AND(G42&lt;&gt;"",H42&lt;&gt;""),(G42-H42)/G42,""),"")</f>
        <v/>
      </c>
      <c r="J42" s="12" t="n"/>
      <c r="K42" s="13">
        <f>IFERROR(IF(AND(G42&lt;&gt;"",J42&lt;&gt;""),J42/G42,""),"")</f>
        <v/>
      </c>
      <c r="L42" s="30" t="inlineStr">
        <is>
          <t>50% wool, 38% polyester, 12% alpaca</t>
        </is>
      </c>
      <c r="M42" s="14" t="inlineStr">
        <is>
          <t>https://www.arket.com/en-ww/product/wool-alpaca-blend-coat-black-1300194001/</t>
        </is>
      </c>
    </row>
    <row r="43" ht="19.5" customHeight="1" s="90">
      <c r="A43" s="17" t="inlineStr">
        <is>
          <t>P41</t>
        </is>
      </c>
      <c r="B43" s="29" t="inlineStr">
        <is>
          <t>Manteco</t>
        </is>
      </c>
      <c r="C43" s="30" t="inlineStr">
        <is>
          <t>H&amp;M</t>
        </is>
      </c>
      <c r="D43" s="30" t="inlineStr">
        <is>
          <t>CAPPOTTO A DOPPIO PETTO IN LANA</t>
        </is>
      </c>
      <c r="E43" s="30" t="inlineStr">
        <is>
          <t>Coat</t>
        </is>
      </c>
      <c r="F43" s="30" t="inlineStr">
        <is>
          <t>CW26</t>
        </is>
      </c>
      <c r="G43" s="12" t="n">
        <v>249</v>
      </c>
      <c r="H43" s="12" t="n">
        <v>119</v>
      </c>
      <c r="I43" s="13">
        <f>IFERROR(IF(AND(G43&lt;&gt;"",H43&lt;&gt;""),(G43-H43)/G43,""),"")</f>
        <v/>
      </c>
      <c r="J43" s="12" t="n"/>
      <c r="K43" s="13">
        <f>IFERROR(IF(AND(G43&lt;&gt;"",J43&lt;&gt;""),J43/G43,""),"")</f>
        <v/>
      </c>
      <c r="L43" s="30" t="inlineStr">
        <is>
          <t>Wool 80%, Polyamide20%</t>
        </is>
      </c>
      <c r="M43" s="14" t="inlineStr">
        <is>
          <t>https://www2.hm.com/it_it/productpage.1304699001.html?srsltid=AfmBOorTa2KQ9KsQcZIONGuI3PLEI3EDLTjKSPL-BG7AbG0WgLCviZpu</t>
        </is>
      </c>
    </row>
    <row r="44" ht="27.75" customHeight="1" s="90">
      <c r="A44" s="17" t="inlineStr">
        <is>
          <t>P42</t>
        </is>
      </c>
      <c r="B44" s="29" t="inlineStr">
        <is>
          <t>Manteco</t>
        </is>
      </c>
      <c r="C44" s="30" t="inlineStr">
        <is>
          <t>H&amp;M</t>
        </is>
      </c>
      <c r="D44" s="30" t="inlineStr">
        <is>
          <t>CAPPOTTO LUNGO SARTORIALE DOPPIOPETTO IN LANA</t>
        </is>
      </c>
      <c r="E44" s="30" t="inlineStr">
        <is>
          <t>Coat</t>
        </is>
      </c>
      <c r="F44" s="30" t="inlineStr">
        <is>
          <t>CW26</t>
        </is>
      </c>
      <c r="G44" s="12" t="n">
        <v>279</v>
      </c>
      <c r="H44" s="12" t="n">
        <v>195</v>
      </c>
      <c r="I44" s="13">
        <f>IFERROR(IF(AND(G44&lt;&gt;"",H44&lt;&gt;""),(G44-H44)/G44,""),"")</f>
        <v/>
      </c>
      <c r="J44" s="12" t="n"/>
      <c r="K44" s="13">
        <f>IFERROR(IF(AND(G44&lt;&gt;"",J44&lt;&gt;""),J44/G44,""),"")</f>
        <v/>
      </c>
      <c r="L44" s="30" t="inlineStr">
        <is>
          <t>Wool 75%, Polyamide 25%</t>
        </is>
      </c>
      <c r="M44" s="19" t="inlineStr">
        <is>
          <t>https://www2.hm.com/it_it/productpage.1288164001.html?srsltid=AfmBOooG7v5hqupC8L_Tb_Fr4sTU0AqGL-ijdmRzqN-7BQhwwL8bLPoV</t>
        </is>
      </c>
    </row>
    <row r="45" ht="39" customHeight="1" s="90">
      <c r="A45" s="17" t="inlineStr">
        <is>
          <t>P43</t>
        </is>
      </c>
      <c r="B45" s="29" t="inlineStr">
        <is>
          <t>Manteco</t>
        </is>
      </c>
      <c r="C45" s="30" t="inlineStr">
        <is>
          <t>H&amp;M</t>
        </is>
      </c>
      <c r="D45" s="30" t="inlineStr">
        <is>
          <t>CAPPOTTO A DOPPIO PETTO IN TWEED DI MISTO LANA</t>
        </is>
      </c>
      <c r="E45" s="30" t="inlineStr">
        <is>
          <t>Coat</t>
        </is>
      </c>
      <c r="F45" s="30" t="inlineStr">
        <is>
          <t>CW26</t>
        </is>
      </c>
      <c r="G45" s="12" t="n">
        <v>149</v>
      </c>
      <c r="H45" s="12" t="n">
        <v>119</v>
      </c>
      <c r="I45" s="13">
        <f>IFERROR(IF(AND(G45&lt;&gt;"",H45&lt;&gt;""),(G45-H45)/G45,""),"")</f>
        <v/>
      </c>
      <c r="J45" s="12" t="n"/>
      <c r="K45" s="13">
        <f>IFERROR(IF(AND(G45&lt;&gt;"",J45&lt;&gt;""),J45/G45,""),"")</f>
        <v/>
      </c>
      <c r="L45" s="30" t="inlineStr">
        <is>
          <t>Acrylic 38%, Wool 22%, Polyester 16%, Polyamide 12%, Cotton 7%, Silk 5%</t>
        </is>
      </c>
      <c r="M45" s="14" t="inlineStr">
        <is>
          <t>https://www2.hm.com/it_it/productpage.1229568001.html?srsltid=AfmBOoo-lwAtdWsBO13v2DuB_Favyx5OW_Sf2mgiv_TlU5RPyoaL5fnf</t>
        </is>
      </c>
    </row>
    <row r="46" ht="34.5" customHeight="1" s="90">
      <c r="A46" s="17" t="inlineStr">
        <is>
          <t>P44</t>
        </is>
      </c>
      <c r="B46" s="29" t="inlineStr">
        <is>
          <t>Manteco</t>
        </is>
      </c>
      <c r="C46" s="30" t="inlineStr">
        <is>
          <t>SELECTED</t>
        </is>
      </c>
      <c r="D46" s="30" t="inlineStr">
        <is>
          <t>MISCELA DI LANA</t>
        </is>
      </c>
      <c r="E46" s="30" t="inlineStr">
        <is>
          <t>Coat</t>
        </is>
      </c>
      <c r="F46" s="30" t="inlineStr">
        <is>
          <t>CW26</t>
        </is>
      </c>
      <c r="G46" s="12" t="n">
        <v>279</v>
      </c>
      <c r="H46" s="12" t="n">
        <v>279</v>
      </c>
      <c r="I46" s="13">
        <f>IFERROR(IF(AND(G46&lt;&gt;"",H46&lt;&gt;""),(G46-H46)/G46,""),"")</f>
        <v/>
      </c>
      <c r="J46" s="12" t="n"/>
      <c r="K46" s="13">
        <f>IFERROR(IF(AND(G46&lt;&gt;"",J46&lt;&gt;""),J46/G46,""),"")</f>
        <v/>
      </c>
      <c r="L46" s="30" t="inlineStr">
        <is>
          <t>50% Wool, 30% Polyester, 10% Acrylic, 5% Polyamide, 5% Other Fibers</t>
        </is>
      </c>
      <c r="M46" s="15" t="inlineStr">
        <is>
          <t>https://www.selected.com/it-it/p/cappotto/16098294_SkyCaptain?utm_source=google&amp;utm_medium=cpc&amp;utm_campaign=Brand_Selected_IT_Shopping_PerformanceMax_Women&amp;gad_source=1&amp;gad_campaignid=22030179585&amp;gbraid=0AAAAACfVC6OsLdr7vFW1IQfZsZCrUjZkU&amp;gclid=CjwKCAjwhe3OBhABEiwA6392zIdH3oLmuDj3mcoAVRdlcohP8JkIEWWqtgeIhj9y0yz5kScUkC1foRoCagoQAvD_BwE</t>
        </is>
      </c>
    </row>
    <row r="47" ht="27" customHeight="1" s="90">
      <c r="A47" s="17" t="inlineStr">
        <is>
          <t>P45</t>
        </is>
      </c>
      <c r="B47" s="29" t="inlineStr">
        <is>
          <t>Manteco</t>
        </is>
      </c>
      <c r="C47" s="30" t="inlineStr">
        <is>
          <t>Mango</t>
        </is>
      </c>
      <c r="D47" s="30" t="inlineStr">
        <is>
          <t>CAPPOTTO LANA MANTECO COLLO PELLICCIA</t>
        </is>
      </c>
      <c r="E47" s="30" t="inlineStr">
        <is>
          <t>Coat</t>
        </is>
      </c>
      <c r="F47" s="30" t="inlineStr">
        <is>
          <t>CW26</t>
        </is>
      </c>
      <c r="G47" s="12" t="n">
        <v>199</v>
      </c>
      <c r="H47" s="12" t="n">
        <v>149</v>
      </c>
      <c r="I47" s="13">
        <f>IFERROR(IF(AND(G47&lt;&gt;"",H47&lt;&gt;""),(G47-H47)/G47,""),"")</f>
        <v/>
      </c>
      <c r="J47" s="12" t="n"/>
      <c r="K47" s="13">
        <f>IFERROR(IF(AND(G47&lt;&gt;"",J47&lt;&gt;""),J47/G47,""),"")</f>
        <v/>
      </c>
      <c r="L47" s="30" t="inlineStr">
        <is>
          <t>71% Wool, 26% Polyamide, 1% Polyester, 1% Cotton, 1% Acrylic</t>
        </is>
      </c>
      <c r="M47" s="14" t="inlineStr">
        <is>
          <t>https://shop.mango.com/it/it/p/donna/cappotti/cappotti/cappotto-lana-manteco-collo-pelliccia_27031309</t>
        </is>
      </c>
    </row>
    <row r="48" ht="25.5" customHeight="1" s="90">
      <c r="A48" s="17" t="inlineStr">
        <is>
          <t>P46</t>
        </is>
      </c>
      <c r="B48" s="29" t="inlineStr">
        <is>
          <t>Manteco</t>
        </is>
      </c>
      <c r="C48" s="30" t="inlineStr">
        <is>
          <t>Zara</t>
        </is>
      </c>
      <c r="D48" s="30" t="inlineStr">
        <is>
          <t>GIUBBOTTO MISTO LANA MANTECO® ORIGINS</t>
        </is>
      </c>
      <c r="E48" s="30" t="inlineStr">
        <is>
          <t>Coat</t>
        </is>
      </c>
      <c r="F48" s="30" t="inlineStr">
        <is>
          <t>CW26</t>
        </is>
      </c>
      <c r="G48" s="12" t="n">
        <v>179</v>
      </c>
      <c r="H48" s="12" t="n">
        <v>179</v>
      </c>
      <c r="I48" s="13">
        <f>IFERROR(IF(AND(G48&lt;&gt;"",H48&lt;&gt;""),(G48-H48)/G48,""),"")</f>
        <v/>
      </c>
      <c r="J48" s="12" t="n"/>
      <c r="K48" s="13">
        <f>IFERROR(IF(AND(G48&lt;&gt;"",J48&lt;&gt;""),J48/G48,""),"")</f>
        <v/>
      </c>
      <c r="L48" s="30" t="inlineStr">
        <is>
          <t>90% wool, 10% cashmere</t>
        </is>
      </c>
      <c r="M48" s="15" t="inlineStr">
        <is>
          <t>https://www.zara.com/it/it/giubbotto-misto-lana-manteco--origins-p04101570.html</t>
        </is>
      </c>
    </row>
    <row r="49" ht="25.5" customHeight="1" s="90">
      <c r="A49" s="17" t="inlineStr">
        <is>
          <t>P47</t>
        </is>
      </c>
      <c r="B49" s="29" t="inlineStr">
        <is>
          <t>Manteco</t>
        </is>
      </c>
      <c r="C49" s="30" t="inlineStr">
        <is>
          <t>Zara</t>
        </is>
      </c>
      <c r="D49" s="30" t="inlineStr">
        <is>
          <t>CAPPOTTO MISTO LANA MANTECO ZW COLLECTION LIMITED EDITION</t>
        </is>
      </c>
      <c r="E49" s="30" t="inlineStr">
        <is>
          <t>Coat</t>
        </is>
      </c>
      <c r="F49" s="30" t="inlineStr">
        <is>
          <t>CW26</t>
        </is>
      </c>
      <c r="G49" s="12" t="n">
        <v>179</v>
      </c>
      <c r="H49" s="12" t="n">
        <v>179</v>
      </c>
      <c r="I49" s="13">
        <f>IFERROR(IF(AND(G49&lt;&gt;"",H49&lt;&gt;""),(G49-H49)/G49,""),"")</f>
        <v/>
      </c>
      <c r="J49" s="12" t="n"/>
      <c r="K49" s="13">
        <f>IFERROR(IF(AND(G49&lt;&gt;"",J49&lt;&gt;""),J49/G49,""),"")</f>
        <v/>
      </c>
      <c r="L49" s="30" t="inlineStr">
        <is>
          <t>42% Wool, 31% Lyocell
25% Polyamide, 2% Other Fibers</t>
        </is>
      </c>
      <c r="M49" s="14" t="inlineStr">
        <is>
          <t>https://www.zara.com/it/it/cappotto-misto-lana-manteco-zw-collection-limited-edition-p02100762.html#:~:text=CAPPOTTO%20MISTO%20LANA%20MANTECO%20ZW,COLLECTION%20LIMITED%20EDITION</t>
        </is>
      </c>
    </row>
    <row r="50" ht="28.5" customHeight="1" s="90">
      <c r="A50" s="17" t="inlineStr">
        <is>
          <t>P48</t>
        </is>
      </c>
      <c r="B50" s="29" t="inlineStr">
        <is>
          <t>Manteco</t>
        </is>
      </c>
      <c r="C50" s="30" t="inlineStr">
        <is>
          <t>Mango</t>
        </is>
      </c>
      <c r="D50" s="30" t="inlineStr">
        <is>
          <t>CAPPOTTO LANA MANTECO MAXI-REVERS</t>
        </is>
      </c>
      <c r="E50" s="30" t="inlineStr">
        <is>
          <t>Coat</t>
        </is>
      </c>
      <c r="F50" s="30" t="inlineStr">
        <is>
          <t>CW26</t>
        </is>
      </c>
      <c r="G50" s="12" t="n">
        <v>179</v>
      </c>
      <c r="H50" s="12" t="n">
        <v>114</v>
      </c>
      <c r="I50" s="13">
        <f>IFERROR(IF(AND(G50&lt;&gt;"",H50&lt;&gt;""),(G50-H50)/G50,""),"")</f>
        <v/>
      </c>
      <c r="J50" s="12" t="n"/>
      <c r="K50" s="13">
        <f>IFERROR(IF(AND(G50&lt;&gt;"",J50&lt;&gt;""),J50/G50,""),"")</f>
        <v/>
      </c>
      <c r="L50" s="30" t="inlineStr">
        <is>
          <t>69% Wool, 28% Polyamide, 1% Acrylic, 1% Polyester, 1% Cotton</t>
        </is>
      </c>
      <c r="M50" s="14" t="inlineStr">
        <is>
          <t>https://www.mangooutlet.com/it/it/p/donna/cappotti/cappotti/cappotto-lana-manteco-maxi-revers_87070453</t>
        </is>
      </c>
    </row>
    <row r="51" ht="19.5" customHeight="1" s="90">
      <c r="A51" s="17" t="inlineStr">
        <is>
          <t>P49</t>
        </is>
      </c>
      <c r="B51" s="29" t="inlineStr">
        <is>
          <t>Manteco</t>
        </is>
      </c>
      <c r="C51" s="30" t="inlineStr">
        <is>
          <t>Fortela</t>
        </is>
      </c>
      <c r="D51" s="30" t="inlineStr">
        <is>
          <t>Fortela Giacca Renny</t>
        </is>
      </c>
      <c r="E51" s="30" t="inlineStr">
        <is>
          <t>Jacket</t>
        </is>
      </c>
      <c r="F51" s="30" t="inlineStr">
        <is>
          <t>CW26</t>
        </is>
      </c>
      <c r="G51" s="12" t="n">
        <v>859</v>
      </c>
      <c r="H51" s="12" t="n">
        <v>510</v>
      </c>
      <c r="I51" s="13">
        <f>IFERROR(IF(AND(G51&lt;&gt;"",H51&lt;&gt;""),(G51-H51)/G51,""),"")</f>
        <v/>
      </c>
      <c r="J51" s="12" t="n"/>
      <c r="K51" s="13">
        <f>IFERROR(IF(AND(G51&lt;&gt;"",J51&lt;&gt;""),J51/G51,""),"")</f>
        <v/>
      </c>
      <c r="L51" s="30" t="inlineStr">
        <is>
          <t>-</t>
        </is>
      </c>
      <c r="M51" s="14" t="inlineStr">
        <is>
          <t>https://closetbyhamilton.it/en/fortela-giacca-renny.html?srsltid=AfmBOopZJ-x9g9xGmGajIzwXpCAW8cp1X9aI9Tmd4OQETnXhYYTLQZeN#:~:text=La%20giacca%20Fortela%20Genny%20è,ed%20il%20peso%20è%20medio</t>
        </is>
      </c>
    </row>
    <row r="52" ht="19.5" customHeight="1" s="90">
      <c r="A52" s="17" t="inlineStr">
        <is>
          <t>P50</t>
        </is>
      </c>
      <c r="B52" s="20" t="inlineStr">
        <is>
          <t>Control</t>
        </is>
      </c>
      <c r="C52" s="20" t="inlineStr">
        <is>
          <t>H&amp;M</t>
        </is>
      </c>
      <c r="D52" s="30" t="inlineStr">
        <is>
          <t xml:space="preserve">CAPPOTTO A MANTELLA IN MISTO LANA DOPPIATA
</t>
        </is>
      </c>
      <c r="E52" s="20" t="inlineStr">
        <is>
          <t>Coat</t>
        </is>
      </c>
      <c r="F52" s="20" t="inlineStr">
        <is>
          <t>CW26</t>
        </is>
      </c>
      <c r="G52" s="12" t="n">
        <v>299</v>
      </c>
      <c r="H52" s="12" t="n">
        <v>299</v>
      </c>
      <c r="I52" s="13">
        <f>IFERROR(IF(AND(G52&lt;&gt;"",H52&lt;&gt;""),(G52-H52)/G52,""),"")</f>
        <v/>
      </c>
      <c r="J52" s="21" t="n"/>
      <c r="K52" s="22" t="n"/>
      <c r="L52" s="30" t="inlineStr">
        <is>
          <t>Lana 80%, Poliestere 20%</t>
        </is>
      </c>
      <c r="M52" s="23" t="inlineStr">
        <is>
          <t>https://www2.hm.com/it_it/productpage.1319364001.html</t>
        </is>
      </c>
    </row>
    <row r="53" ht="19.5" customHeight="1" s="90">
      <c r="A53" s="17" t="inlineStr">
        <is>
          <t>P51</t>
        </is>
      </c>
      <c r="B53" s="20" t="inlineStr">
        <is>
          <t>Control</t>
        </is>
      </c>
      <c r="C53" s="20" t="inlineStr">
        <is>
          <t>H&amp;M</t>
        </is>
      </c>
      <c r="D53" s="30" t="inlineStr">
        <is>
          <t xml:space="preserve">MAXI CAPPOTTO IN LANA CON COLLO SCIALLATO
</t>
        </is>
      </c>
      <c r="E53" s="20" t="inlineStr">
        <is>
          <t>Coat</t>
        </is>
      </c>
      <c r="F53" s="20" t="inlineStr">
        <is>
          <t>CW26</t>
        </is>
      </c>
      <c r="G53" s="12" t="n">
        <v>279</v>
      </c>
      <c r="H53" s="12" t="n">
        <v>279</v>
      </c>
      <c r="I53" s="13">
        <f>IFERROR(IF(AND(G53&lt;&gt;"",H53&lt;&gt;""),(G53-H53)/G53,""),"")</f>
        <v/>
      </c>
      <c r="J53" s="21" t="n"/>
      <c r="K53" s="22" t="n"/>
      <c r="L53" s="20" t="inlineStr">
        <is>
          <t>Lana 80%, Poliestere 20%</t>
        </is>
      </c>
      <c r="M53" s="23" t="inlineStr">
        <is>
          <t>https://www2.hm.com/it_it/productpage.1296699001.html</t>
        </is>
      </c>
    </row>
    <row r="54" ht="19.5" customHeight="1" s="90">
      <c r="A54" s="17" t="inlineStr">
        <is>
          <t>P52</t>
        </is>
      </c>
      <c r="B54" s="20" t="inlineStr">
        <is>
          <t>Control</t>
        </is>
      </c>
      <c r="C54" s="20" t="inlineStr">
        <is>
          <t>H&amp;M</t>
        </is>
      </c>
      <c r="D54" s="30" t="inlineStr">
        <is>
          <t xml:space="preserve">CAPPOTTO OVERSIZE MISTO LANA
</t>
        </is>
      </c>
      <c r="E54" s="20" t="inlineStr">
        <is>
          <t>Coat</t>
        </is>
      </c>
      <c r="F54" s="30" t="inlineStr">
        <is>
          <t>CW26</t>
        </is>
      </c>
      <c r="G54" s="12" t="n">
        <v>79.98999999999999</v>
      </c>
      <c r="H54" s="12" t="n">
        <v>79.98999999999999</v>
      </c>
      <c r="I54" s="13">
        <f>IFERROR(IF(AND(G54&lt;&gt;"",H54&lt;&gt;""),(G54-H54)/G54,""),"")</f>
        <v/>
      </c>
      <c r="J54" s="21" t="n"/>
      <c r="K54" s="22" t="n"/>
      <c r="L54" s="20" t="inlineStr">
        <is>
          <t>Poliestere 69%, Lana 24%, Poliammide 7%</t>
        </is>
      </c>
      <c r="M54" s="24" t="inlineStr">
        <is>
          <t>https://www2.hm.com/it_it/productpage.1319850001.html</t>
        </is>
      </c>
    </row>
    <row r="55">
      <c r="A55" s="17" t="inlineStr">
        <is>
          <t>P53</t>
        </is>
      </c>
      <c r="B55" s="20" t="inlineStr">
        <is>
          <t>Control</t>
        </is>
      </c>
      <c r="C55" s="20" t="inlineStr">
        <is>
          <t>COS</t>
        </is>
      </c>
      <c r="D55" s="30" t="inlineStr">
        <is>
          <t>CAPPOTTO DOPPIOPETTO LUNGO OVERSIZE IN LANA</t>
        </is>
      </c>
      <c r="E55" s="20" t="inlineStr">
        <is>
          <t>Coat</t>
        </is>
      </c>
      <c r="F55" s="30" t="inlineStr">
        <is>
          <t>FW25</t>
        </is>
      </c>
      <c r="G55" s="12" t="n">
        <v>299</v>
      </c>
      <c r="H55" s="12" t="n">
        <v>299</v>
      </c>
      <c r="I55" s="13">
        <f>IFERROR(IF(AND(G55&lt;&gt;"",H55&lt;&gt;""),(G55-H55)/G55,""),"")</f>
        <v/>
      </c>
      <c r="J55" s="21" t="n"/>
      <c r="K55" s="22" t="n"/>
      <c r="L55" s="20" t="inlineStr">
        <is>
          <t>Esterno: 74% Lana, 26% Poliammide,
Fodera interna: 100% Viscosa</t>
        </is>
      </c>
      <c r="M55" s="23" t="inlineStr">
        <is>
          <t>https://www.cos.com/it-it/women/womenswear/coatsjackets/coats/product/oversized-double-breasted-wool-coat-dark-green-1245359004</t>
        </is>
      </c>
    </row>
    <row r="56">
      <c r="A56" s="17" t="inlineStr">
        <is>
          <t>P54</t>
        </is>
      </c>
      <c r="B56" s="20" t="inlineStr">
        <is>
          <t>Control</t>
        </is>
      </c>
      <c r="C56" s="20" t="inlineStr">
        <is>
          <t>COS</t>
        </is>
      </c>
      <c r="D56" s="30" t="inlineStr">
        <is>
          <t>CAPPOTTO SARTORIALE IN TWILL DI LANA CON CINTURA</t>
        </is>
      </c>
      <c r="E56" s="30" t="inlineStr">
        <is>
          <t>Coat</t>
        </is>
      </c>
      <c r="F56" s="30" t="inlineStr">
        <is>
          <t>CW26</t>
        </is>
      </c>
      <c r="G56" s="12" t="n">
        <v>279</v>
      </c>
      <c r="H56" s="12" t="n">
        <v>279</v>
      </c>
      <c r="I56" s="13">
        <f>IFERROR(IF(AND(G56&lt;&gt;"",H56&lt;&gt;""),(G56-H56)/G56,""),"")</f>
        <v/>
      </c>
      <c r="J56" s="21" t="n"/>
      <c r="K56" s="22" t="n"/>
      <c r="L56" s="20" t="inlineStr">
        <is>
          <t xml:space="preserve">
Esterno: 76% Lana, 22% Poliammide, 2% Poliestere,
Fodera interna: 100% Viscosa</t>
        </is>
      </c>
      <c r="M56" s="24" t="inlineStr">
        <is>
          <t>https://www.cos.com/it-it/women/womenswear/coatsjackets/coats/product/tailored-belted-wool-twill-coat-charcoal-1322684001</t>
        </is>
      </c>
    </row>
    <row r="57" ht="19.5" customHeight="1" s="90">
      <c r="A57" s="17" t="inlineStr">
        <is>
          <t>P55</t>
        </is>
      </c>
      <c r="B57" s="20" t="inlineStr">
        <is>
          <t>Control</t>
        </is>
      </c>
      <c r="C57" s="20" t="inlineStr">
        <is>
          <t>Mango</t>
        </is>
      </c>
      <c r="D57" s="30" t="inlineStr">
        <is>
          <t>CAPPOTTO LANA DOPPIA ABBOTTONATURA</t>
        </is>
      </c>
      <c r="E57" s="30" t="inlineStr">
        <is>
          <t>Coat</t>
        </is>
      </c>
      <c r="F57" s="30" t="inlineStr">
        <is>
          <t>CW26</t>
        </is>
      </c>
      <c r="G57" s="12" t="n">
        <v>199.99</v>
      </c>
      <c r="H57" s="12" t="n">
        <v>89.98999999999999</v>
      </c>
      <c r="I57" s="13">
        <f>IFERROR(IF(AND(G57&lt;&gt;"",H57&lt;&gt;""),(G57-H57)/G57,""),"")</f>
        <v/>
      </c>
      <c r="J57" s="21" t="n"/>
      <c r="K57" s="22" t="n"/>
      <c r="L57" s="20" t="inlineStr">
        <is>
          <t>Composizione: 71% lana, 27% poliammide, 1% cotone, 1% acrilico</t>
        </is>
      </c>
      <c r="M57" s="23" t="inlineStr">
        <is>
          <t>https://shop.mango.com/it/it/p/donna/cappotti/cappotti/cappotto-lana-doppia-abbottonatura_17098289</t>
        </is>
      </c>
    </row>
    <row r="58" ht="19.5" customHeight="1" s="90">
      <c r="A58" s="17" t="inlineStr">
        <is>
          <t>P56</t>
        </is>
      </c>
      <c r="B58" s="20" t="inlineStr">
        <is>
          <t>Control</t>
        </is>
      </c>
      <c r="C58" s="20" t="inlineStr">
        <is>
          <t>Mango</t>
        </is>
      </c>
      <c r="D58" s="30" t="inlineStr">
        <is>
          <t>CAPPOTTO LANA REVERS</t>
        </is>
      </c>
      <c r="E58" s="30" t="inlineStr">
        <is>
          <t>Coat</t>
        </is>
      </c>
      <c r="F58" s="30" t="inlineStr">
        <is>
          <t>CW26</t>
        </is>
      </c>
      <c r="G58" s="12" t="n">
        <v>239.99</v>
      </c>
      <c r="H58" s="12" t="n">
        <v>199.99</v>
      </c>
      <c r="I58" s="13">
        <f>IFERROR(IF(AND(G58&lt;&gt;"",H58&lt;&gt;""),(G58-H58)/G58,""),"")</f>
        <v/>
      </c>
      <c r="J58" s="21" t="n"/>
      <c r="K58" s="22" t="n"/>
      <c r="L58" s="20" t="inlineStr">
        <is>
          <t>Composizione: 72% lana, 28% poliammide</t>
        </is>
      </c>
      <c r="M58" s="25" t="inlineStr">
        <is>
          <t>https://shop.mango.com/it/it/p/donna/cappotti/cappotti/cappotto-lana-revers_17036361</t>
        </is>
      </c>
    </row>
    <row r="59">
      <c r="A59" s="17" t="inlineStr">
        <is>
          <t>P57</t>
        </is>
      </c>
      <c r="B59" s="20" t="inlineStr">
        <is>
          <t>Control</t>
        </is>
      </c>
      <c r="C59" s="20" t="inlineStr">
        <is>
          <t>Zara</t>
        </is>
      </c>
      <c r="D59" s="30" t="inlineStr">
        <is>
          <t>CAPPOTTO CORTO MISTO LANA CON COLLO ALTO</t>
        </is>
      </c>
      <c r="E59" s="30" t="inlineStr">
        <is>
          <t>Coat</t>
        </is>
      </c>
      <c r="F59" s="30" t="inlineStr">
        <is>
          <t>CW26</t>
        </is>
      </c>
      <c r="G59" s="12" t="n">
        <v>65.95</v>
      </c>
      <c r="H59" s="12" t="n">
        <v>45.95</v>
      </c>
      <c r="I59" s="13">
        <f>IFERROR(IF(AND(G59&lt;&gt;"",H59&lt;&gt;""),(G59-H59)/G59,""),"")</f>
        <v/>
      </c>
      <c r="J59" s="21" t="n"/>
      <c r="K59" s="22" t="n"/>
      <c r="L59" s="20" t="inlineStr">
        <is>
          <t xml:space="preserve">ESTERNO
48% lana
38% poliestere
9% acrilico
5% altre fibre
</t>
        </is>
      </c>
      <c r="M59" s="24" t="inlineStr">
        <is>
          <t>CAPPOTTO CORTO MISTO LANA CON COLLO ALTO - Marrone | ZARA Italia / Italy</t>
        </is>
      </c>
    </row>
    <row r="60" ht="19.5" customHeight="1" s="90">
      <c r="A60" s="17" t="inlineStr">
        <is>
          <t>P58</t>
        </is>
      </c>
      <c r="B60" s="26" t="inlineStr">
        <is>
          <t>Control</t>
        </is>
      </c>
      <c r="C60" s="20" t="inlineStr">
        <is>
          <t>Aritzia</t>
        </is>
      </c>
      <c r="D60" s="30" t="inlineStr">
        <is>
          <t>The Embrace Double-Faced Coat - Luxe (Re)Wool</t>
        </is>
      </c>
      <c r="E60" s="30" t="inlineStr">
        <is>
          <t>Coat</t>
        </is>
      </c>
      <c r="F60" s="30" t="inlineStr">
        <is>
          <t>CW26</t>
        </is>
      </c>
      <c r="G60" s="12" t="n">
        <v>458</v>
      </c>
      <c r="H60" s="12" t="n">
        <v>458</v>
      </c>
      <c r="I60" s="13">
        <f>IFERROR(IF(AND(G60&lt;&gt;"",H60&lt;&gt;""),(G60-H60)/G60,""),"")</f>
        <v/>
      </c>
      <c r="J60" s="27" t="n"/>
      <c r="K60" s="28" t="n"/>
      <c r="L60" s="20" t="inlineStr">
        <is>
          <t>Content: 98% recycled wool, 2% other fibres</t>
        </is>
      </c>
      <c r="M60" s="15" t="inlineStr">
        <is>
          <t>https://www.aritzia.com/intl/en/product/the-embrace-double-faced-coat/128590.html?color=1274</t>
        </is>
      </c>
    </row>
    <row r="61" ht="19.5" customHeight="1" s="90">
      <c r="A61" s="17" t="inlineStr">
        <is>
          <t>P59</t>
        </is>
      </c>
      <c r="B61" s="26" t="inlineStr">
        <is>
          <t>Control</t>
        </is>
      </c>
      <c r="C61" s="20" t="inlineStr">
        <is>
          <t>Fortela</t>
        </is>
      </c>
      <c r="D61" s="30" t="inlineStr">
        <is>
          <t xml:space="preserve">Scotland Giacca Classica In Lana A Quadri
</t>
        </is>
      </c>
      <c r="E61" s="30" t="inlineStr">
        <is>
          <t>Jacket</t>
        </is>
      </c>
      <c r="F61" s="30" t="inlineStr">
        <is>
          <t>CW26</t>
        </is>
      </c>
      <c r="G61" s="12" t="n">
        <v>950</v>
      </c>
      <c r="H61" s="12" t="n">
        <v>950</v>
      </c>
      <c r="I61" s="13">
        <f>IFERROR(IF(AND(G61&lt;&gt;"",H61&lt;&gt;""),(G61-H61)/G61,""),"")</f>
        <v/>
      </c>
      <c r="J61" s="27" t="n"/>
      <c r="K61" s="28" t="n"/>
      <c r="L61" s="20" t="inlineStr">
        <is>
          <t>100% wool</t>
        </is>
      </c>
      <c r="M61" s="15" t="inlineStr">
        <is>
          <t>https://www.fortela.com/collections/tailleur-e-giacche-donna/products/wscotland-gr158-mix</t>
        </is>
      </c>
    </row>
    <row r="62" ht="19.5" customHeight="1" s="90">
      <c r="A62" s="17" t="inlineStr">
        <is>
          <t>P60</t>
        </is>
      </c>
      <c r="B62" s="26" t="inlineStr">
        <is>
          <t>Control</t>
        </is>
      </c>
      <c r="C62" s="20" t="inlineStr">
        <is>
          <t>Selected</t>
        </is>
      </c>
      <c r="D62" s="30" t="inlineStr">
        <is>
          <t xml:space="preserve">CAPPOTTO IN MISTO LANA
</t>
        </is>
      </c>
      <c r="E62" s="30" t="inlineStr">
        <is>
          <t>Coat</t>
        </is>
      </c>
      <c r="F62" s="30" t="inlineStr">
        <is>
          <t>CW26</t>
        </is>
      </c>
      <c r="G62" s="12" t="n">
        <v>239.99</v>
      </c>
      <c r="H62" s="12" t="n">
        <v>239.99</v>
      </c>
      <c r="I62" s="13">
        <f>IFERROR(IF(AND(G62&lt;&gt;"",H62&lt;&gt;""),(G62-H62)/G62,""),"")</f>
        <v/>
      </c>
      <c r="J62" s="27" t="n"/>
      <c r="K62" s="28" t="n"/>
      <c r="L62" s="20" t="inlineStr">
        <is>
          <t>50% wool, 45% polyester, 5% other fibres</t>
        </is>
      </c>
      <c r="M62" s="15" t="inlineStr">
        <is>
          <t>https://www.selected.com/it-it/p/cappotto-in-misto-lana/16097628_FallenRock_1192211</t>
        </is>
      </c>
    </row>
    <row r="63" ht="19.5" customHeight="1" s="90">
      <c r="A63" s="17" t="inlineStr">
        <is>
          <t>P61</t>
        </is>
      </c>
      <c r="B63" s="26" t="inlineStr">
        <is>
          <t>Control</t>
        </is>
      </c>
      <c r="C63" s="20" t="inlineStr">
        <is>
          <t>Selected</t>
        </is>
      </c>
      <c r="D63" s="30" t="inlineStr">
        <is>
          <t>CAPPOTTO</t>
        </is>
      </c>
      <c r="E63" s="30" t="inlineStr">
        <is>
          <t>Coat</t>
        </is>
      </c>
      <c r="F63" s="30" t="inlineStr">
        <is>
          <t>CW26</t>
        </is>
      </c>
      <c r="G63" s="12" t="n">
        <v>189.99</v>
      </c>
      <c r="H63" s="12" t="n">
        <v>189.99</v>
      </c>
      <c r="I63" s="13">
        <f>IFERROR(IF(AND(G63&lt;&gt;"",H63&lt;&gt;""),(G63-H63)/G63,""),"")</f>
        <v/>
      </c>
      <c r="J63" s="27" t="n"/>
      <c r="K63" s="28" t="n"/>
      <c r="L63" s="20" t="inlineStr">
        <is>
          <t>50% wool, 45% polyester, 5% other fibres</t>
        </is>
      </c>
      <c r="M63" s="14" t="inlineStr">
        <is>
          <t>https://www.selected.com/it-it/p/cappotto/16098038_Sandshell_1190946</t>
        </is>
      </c>
    </row>
    <row r="64" ht="19.5" customHeight="1" s="90">
      <c r="A64" s="17" t="inlineStr">
        <is>
          <t>P62</t>
        </is>
      </c>
      <c r="B64" s="26" t="inlineStr">
        <is>
          <t>Control</t>
        </is>
      </c>
      <c r="C64" s="20" t="inlineStr">
        <is>
          <t>Zara</t>
        </is>
      </c>
      <c r="D64" s="30" t="inlineStr">
        <is>
          <t>ORIGINS WOOL JACKET WITH ZIP</t>
        </is>
      </c>
      <c r="E64" s="30" t="inlineStr">
        <is>
          <t>Coat</t>
        </is>
      </c>
      <c r="F64" s="30" t="inlineStr">
        <is>
          <t>CW26</t>
        </is>
      </c>
      <c r="G64" s="12" t="n">
        <v>149</v>
      </c>
      <c r="H64" s="12" t="n">
        <v>149</v>
      </c>
      <c r="I64" s="13">
        <f>IFERROR(IF(AND(G64&lt;&gt;"",H64&lt;&gt;""),(G64-H64)/G64,""),"")</f>
        <v/>
      </c>
      <c r="J64" s="27" t="n"/>
      <c r="K64" s="28" t="n"/>
      <c r="L64" s="20" t="inlineStr">
        <is>
          <t>100% wool</t>
        </is>
      </c>
      <c r="M64" s="14" t="inlineStr">
        <is>
          <t>https://www.zara.com/it/it/giubbotto-lana-cerniera-origins-p08491400.html?v1=496607894</t>
        </is>
      </c>
    </row>
    <row r="65" ht="19.5" customHeight="1" s="90">
      <c r="A65" s="17">
        <f>IF(C65&lt;&gt;"","P"&amp;TEXT(ROW()-2,"00"),"")</f>
        <v/>
      </c>
      <c r="B65" s="29" t="n"/>
      <c r="C65" s="30" t="n"/>
      <c r="D65" s="30" t="n"/>
      <c r="E65" s="30" t="n"/>
      <c r="F65" s="30" t="n"/>
      <c r="G65" s="12" t="n"/>
      <c r="H65" s="12" t="n"/>
      <c r="I65" s="13">
        <f>IFERROR(IF(AND(G65&lt;&gt;"",H65&lt;&gt;""),(G65-H65)/G65,""),"")</f>
        <v/>
      </c>
      <c r="J65" s="12" t="n"/>
      <c r="K65" s="13">
        <f>IFERROR(IF(AND(G65&lt;&gt;"",J65&lt;&gt;""),J65/G65,""),"")</f>
        <v/>
      </c>
      <c r="L65" s="30" t="n"/>
      <c r="M65" s="31" t="n"/>
    </row>
    <row r="66" ht="19.5" customHeight="1" s="90">
      <c r="A66" s="17">
        <f>IF(C66&lt;&gt;"","P"&amp;TEXT(ROW()-2,"00"),"")</f>
        <v/>
      </c>
      <c r="B66" s="29" t="n"/>
      <c r="C66" s="30" t="n"/>
      <c r="D66" s="30" t="n"/>
      <c r="E66" s="30" t="n"/>
      <c r="F66" s="30" t="n"/>
      <c r="G66" s="12" t="n"/>
      <c r="H66" s="12" t="n"/>
      <c r="I66" s="13">
        <f>IFERROR(IF(AND(G66&lt;&gt;"",H66&lt;&gt;""),(G66-H66)/G66,""),"")</f>
        <v/>
      </c>
      <c r="J66" s="12" t="n"/>
      <c r="K66" s="13">
        <f>IFERROR(IF(AND(G66&lt;&gt;"",J66&lt;&gt;""),J66/G66,""),"")</f>
        <v/>
      </c>
      <c r="L66" s="30" t="n"/>
      <c r="M66" s="31" t="n"/>
    </row>
    <row r="67" ht="19.5" customHeight="1" s="90">
      <c r="A67" s="17">
        <f>IF(C67&lt;&gt;"","P"&amp;TEXT(ROW()-2,"00"),"")</f>
        <v/>
      </c>
      <c r="B67" s="29" t="n"/>
      <c r="C67" s="30" t="n"/>
      <c r="D67" s="30" t="n"/>
      <c r="E67" s="30" t="n"/>
      <c r="F67" s="30" t="n"/>
      <c r="G67" s="12" t="n"/>
      <c r="H67" s="12" t="n"/>
      <c r="I67" s="13">
        <f>IFERROR(IF(AND(G67&lt;&gt;"",H67&lt;&gt;""),(G67-H67)/G67,""),"")</f>
        <v/>
      </c>
      <c r="J67" s="12" t="n"/>
      <c r="K67" s="13">
        <f>IFERROR(IF(AND(G67&lt;&gt;"",J67&lt;&gt;""),J67/G67,""),"")</f>
        <v/>
      </c>
      <c r="L67" s="30" t="n"/>
      <c r="M67" s="31" t="n"/>
    </row>
    <row r="68" ht="19.5" customHeight="1" s="90">
      <c r="A68" s="17">
        <f>IF(C68&lt;&gt;"","P"&amp;TEXT(ROW()-2,"00"),"")</f>
        <v/>
      </c>
      <c r="B68" s="29" t="n"/>
      <c r="C68" s="30" t="n"/>
      <c r="D68" s="30" t="n"/>
      <c r="E68" s="30" t="n"/>
      <c r="F68" s="30" t="n"/>
      <c r="G68" s="12" t="n"/>
      <c r="H68" s="12" t="n"/>
      <c r="I68" s="13">
        <f>IFERROR(IF(AND(G68&lt;&gt;"",H68&lt;&gt;""),(G68-H68)/G68,""),"")</f>
        <v/>
      </c>
      <c r="J68" s="12" t="n"/>
      <c r="K68" s="13">
        <f>IFERROR(IF(AND(G68&lt;&gt;"",J68&lt;&gt;""),J68/G68,""),"")</f>
        <v/>
      </c>
      <c r="L68" s="30" t="n"/>
      <c r="M68" s="31" t="n"/>
    </row>
    <row r="69" ht="19.5" customHeight="1" s="90">
      <c r="A69" s="17">
        <f>IF(C69&lt;&gt;"","P"&amp;TEXT(ROW()-2,"00"),"")</f>
        <v/>
      </c>
      <c r="B69" s="29" t="n"/>
      <c r="C69" s="30" t="n"/>
      <c r="D69" s="30" t="n"/>
      <c r="E69" s="30" t="n"/>
      <c r="F69" s="30" t="n"/>
      <c r="G69" s="12" t="n"/>
      <c r="H69" s="12" t="n"/>
      <c r="I69" s="13">
        <f>IFERROR(IF(AND(G69&lt;&gt;"",H69&lt;&gt;""),(G69-H69)/G69,""),"")</f>
        <v/>
      </c>
      <c r="J69" s="12" t="n"/>
      <c r="K69" s="13">
        <f>IFERROR(IF(AND(G69&lt;&gt;"",J69&lt;&gt;""),J69/G69,""),"")</f>
        <v/>
      </c>
      <c r="L69" s="30" t="n"/>
      <c r="M69" s="31" t="n"/>
    </row>
    <row r="70" ht="19.5" customHeight="1" s="90">
      <c r="A70" s="17">
        <f>IF(C70&lt;&gt;"","P"&amp;TEXT(ROW()-2,"00"),"")</f>
        <v/>
      </c>
      <c r="B70" s="29" t="n"/>
      <c r="C70" s="30" t="n"/>
      <c r="D70" s="30" t="n"/>
      <c r="E70" s="30" t="n"/>
      <c r="F70" s="30" t="n"/>
      <c r="G70" s="12" t="n"/>
      <c r="H70" s="12" t="n"/>
      <c r="I70" s="13">
        <f>IFERROR(IF(AND(G70&lt;&gt;"",H70&lt;&gt;""),(G70-H70)/G70,""),"")</f>
        <v/>
      </c>
      <c r="J70" s="12" t="n"/>
      <c r="K70" s="13">
        <f>IFERROR(IF(AND(G70&lt;&gt;"",J70&lt;&gt;""),J70/G70,""),"")</f>
        <v/>
      </c>
      <c r="L70" s="30" t="n"/>
      <c r="M70" s="31" t="n"/>
    </row>
    <row r="71" ht="19.5" customHeight="1" s="90">
      <c r="A71" s="17">
        <f>IF(C71&lt;&gt;"","P"&amp;TEXT(ROW()-2,"00"),"")</f>
        <v/>
      </c>
      <c r="B71" s="29" t="n"/>
      <c r="C71" s="30" t="n"/>
      <c r="D71" s="30" t="n"/>
      <c r="E71" s="30" t="n"/>
      <c r="F71" s="30" t="n"/>
      <c r="G71" s="12" t="n"/>
      <c r="H71" s="12" t="n"/>
      <c r="I71" s="13">
        <f>IFERROR(IF(AND(G71&lt;&gt;"",H71&lt;&gt;""),(G71-H71)/G71,""),"")</f>
        <v/>
      </c>
      <c r="J71" s="12" t="n"/>
      <c r="K71" s="13">
        <f>IFERROR(IF(AND(G71&lt;&gt;"",J71&lt;&gt;""),J71/G71,""),"")</f>
        <v/>
      </c>
      <c r="L71" s="30" t="n"/>
      <c r="M71" s="31" t="n"/>
    </row>
    <row r="72" ht="19.5" customHeight="1" s="90">
      <c r="A72" s="17">
        <f>IF(C72&lt;&gt;"","P"&amp;TEXT(ROW()-2,"00"),"")</f>
        <v/>
      </c>
      <c r="B72" s="29" t="n"/>
      <c r="C72" s="30" t="n"/>
      <c r="D72" s="30" t="n"/>
      <c r="E72" s="30" t="n"/>
      <c r="F72" s="30" t="n"/>
      <c r="G72" s="12" t="n"/>
      <c r="H72" s="12" t="n"/>
      <c r="I72" s="13">
        <f>IFERROR(IF(AND(G72&lt;&gt;"",H72&lt;&gt;""),(G72-H72)/G72,""),"")</f>
        <v/>
      </c>
      <c r="J72" s="12" t="n"/>
      <c r="K72" s="13">
        <f>IFERROR(IF(AND(G72&lt;&gt;"",J72&lt;&gt;""),J72/G72,""),"")</f>
        <v/>
      </c>
      <c r="L72" s="30" t="n"/>
      <c r="M72" s="31" t="n"/>
    </row>
    <row r="73" ht="19.5" customHeight="1" s="90">
      <c r="A73" s="17">
        <f>IF(C73&lt;&gt;"","P"&amp;TEXT(ROW()-2,"00"),"")</f>
        <v/>
      </c>
      <c r="B73" s="29" t="n"/>
      <c r="C73" s="30" t="n"/>
      <c r="D73" s="30" t="n"/>
      <c r="E73" s="30" t="n"/>
      <c r="F73" s="30" t="n"/>
      <c r="G73" s="12" t="n"/>
      <c r="H73" s="12" t="n"/>
      <c r="I73" s="13">
        <f>IFERROR(IF(AND(G73&lt;&gt;"",H73&lt;&gt;""),(G73-H73)/G73,""),"")</f>
        <v/>
      </c>
      <c r="J73" s="12" t="n"/>
      <c r="K73" s="13">
        <f>IFERROR(IF(AND(G73&lt;&gt;"",J73&lt;&gt;""),J73/G73,""),"")</f>
        <v/>
      </c>
      <c r="L73" s="30" t="n"/>
      <c r="M73" s="31" t="n"/>
    </row>
    <row r="74" ht="19.5" customHeight="1" s="90">
      <c r="A74" s="17">
        <f>IF(C74&lt;&gt;"","P"&amp;TEXT(ROW()-2,"00"),"")</f>
        <v/>
      </c>
      <c r="B74" s="29" t="n"/>
      <c r="C74" s="30" t="n"/>
      <c r="D74" s="30" t="n"/>
      <c r="E74" s="30" t="n"/>
      <c r="F74" s="30" t="n"/>
      <c r="G74" s="12" t="n"/>
      <c r="H74" s="12" t="n"/>
      <c r="I74" s="13">
        <f>IFERROR(IF(AND(G74&lt;&gt;"",H74&lt;&gt;""),(G74-H74)/G74,""),"")</f>
        <v/>
      </c>
      <c r="J74" s="12" t="n"/>
      <c r="K74" s="13">
        <f>IFERROR(IF(AND(G74&lt;&gt;"",J74&lt;&gt;""),J74/G74,""),"")</f>
        <v/>
      </c>
      <c r="L74" s="30" t="n"/>
      <c r="M74" s="31" t="n"/>
    </row>
    <row r="75" ht="19.5" customHeight="1" s="90">
      <c r="A75" s="17">
        <f>IF(C75&lt;&gt;"","P"&amp;TEXT(ROW()-2,"00"),"")</f>
        <v/>
      </c>
      <c r="B75" s="29" t="n"/>
      <c r="C75" s="30" t="n"/>
      <c r="D75" s="30" t="n"/>
      <c r="E75" s="30" t="n"/>
      <c r="F75" s="30" t="n"/>
      <c r="G75" s="12" t="n"/>
      <c r="H75" s="12" t="n"/>
      <c r="I75" s="13">
        <f>IFERROR(IF(AND(G75&lt;&gt;"",H75&lt;&gt;""),(G75-H75)/G75,""),"")</f>
        <v/>
      </c>
      <c r="J75" s="12" t="n"/>
      <c r="K75" s="13">
        <f>IFERROR(IF(AND(G75&lt;&gt;"",J75&lt;&gt;""),J75/G75,""),"")</f>
        <v/>
      </c>
      <c r="L75" s="30" t="n"/>
      <c r="M75" s="31" t="n"/>
    </row>
    <row r="76" ht="19.5" customHeight="1" s="90">
      <c r="A76" s="17">
        <f>IF(C76&lt;&gt;"","P"&amp;TEXT(ROW()-2,"00"),"")</f>
        <v/>
      </c>
      <c r="B76" s="29" t="n"/>
      <c r="C76" s="30" t="n"/>
      <c r="D76" s="30" t="n"/>
      <c r="E76" s="30" t="n"/>
      <c r="F76" s="30" t="n"/>
      <c r="G76" s="12" t="n"/>
      <c r="H76" s="12" t="n"/>
      <c r="I76" s="13">
        <f>IFERROR(IF(AND(G76&lt;&gt;"",H76&lt;&gt;""),(G76-H76)/G76,""),"")</f>
        <v/>
      </c>
      <c r="J76" s="12" t="n"/>
      <c r="K76" s="13">
        <f>IFERROR(IF(AND(G76&lt;&gt;"",J76&lt;&gt;""),J76/G76,""),"")</f>
        <v/>
      </c>
      <c r="L76" s="30" t="n"/>
      <c r="M76" s="31" t="n"/>
    </row>
    <row r="77" ht="19.5" customHeight="1" s="90">
      <c r="A77" s="17">
        <f>IF(C77&lt;&gt;"","P"&amp;TEXT(ROW()-2,"00"),"")</f>
        <v/>
      </c>
      <c r="B77" s="29" t="n"/>
      <c r="C77" s="30" t="n"/>
      <c r="D77" s="30" t="n"/>
      <c r="E77" s="30" t="n"/>
      <c r="F77" s="30" t="n"/>
      <c r="G77" s="12" t="n"/>
      <c r="H77" s="12" t="n"/>
      <c r="I77" s="13">
        <f>IFERROR(IF(AND(G77&lt;&gt;"",H77&lt;&gt;""),(G77-H77)/G77,""),"")</f>
        <v/>
      </c>
      <c r="J77" s="12" t="n"/>
      <c r="K77" s="13">
        <f>IFERROR(IF(AND(G77&lt;&gt;"",J77&lt;&gt;""),J77/G77,""),"")</f>
        <v/>
      </c>
      <c r="L77" s="30" t="n"/>
      <c r="M77" s="31" t="n"/>
    </row>
    <row r="78" ht="19.5" customHeight="1" s="90">
      <c r="A78" s="17">
        <f>IF(C78&lt;&gt;"","P"&amp;TEXT(ROW()-2,"00"),"")</f>
        <v/>
      </c>
      <c r="B78" s="29" t="n"/>
      <c r="C78" s="30" t="n"/>
      <c r="D78" s="30" t="n"/>
      <c r="E78" s="30" t="n"/>
      <c r="F78" s="30" t="n"/>
      <c r="G78" s="12" t="n"/>
      <c r="H78" s="12" t="n"/>
      <c r="I78" s="13">
        <f>IFERROR(IF(AND(G78&lt;&gt;"",H78&lt;&gt;""),(G78-H78)/G78,""),"")</f>
        <v/>
      </c>
      <c r="J78" s="12" t="n"/>
      <c r="K78" s="13">
        <f>IFERROR(IF(AND(G78&lt;&gt;"",J78&lt;&gt;""),J78/G78,""),"")</f>
        <v/>
      </c>
      <c r="L78" s="30" t="n"/>
      <c r="M78" s="31" t="n"/>
    </row>
    <row r="79" ht="19.5" customHeight="1" s="90">
      <c r="A79" s="17">
        <f>IF(C79&lt;&gt;"","P"&amp;TEXT(ROW()-2,"00"),"")</f>
        <v/>
      </c>
      <c r="B79" s="29" t="n"/>
      <c r="C79" s="30" t="n"/>
      <c r="D79" s="30" t="n"/>
      <c r="E79" s="30" t="n"/>
      <c r="F79" s="30" t="n"/>
      <c r="G79" s="12" t="n"/>
      <c r="H79" s="12" t="n"/>
      <c r="I79" s="13">
        <f>IFERROR(IF(AND(G79&lt;&gt;"",H79&lt;&gt;""),(G79-H79)/G79,""),"")</f>
        <v/>
      </c>
      <c r="J79" s="12" t="n"/>
      <c r="K79" s="13">
        <f>IFERROR(IF(AND(G79&lt;&gt;"",J79&lt;&gt;""),J79/G79,""),"")</f>
        <v/>
      </c>
      <c r="L79" s="30" t="n"/>
      <c r="M79" s="31" t="n"/>
    </row>
    <row r="80" ht="19.5" customHeight="1" s="90">
      <c r="A80" s="17">
        <f>IF(C80&lt;&gt;"","P"&amp;TEXT(ROW()-2,"00"),"")</f>
        <v/>
      </c>
      <c r="B80" s="29" t="n"/>
      <c r="C80" s="30" t="n"/>
      <c r="D80" s="30" t="n"/>
      <c r="E80" s="30" t="n"/>
      <c r="F80" s="30" t="n"/>
      <c r="G80" s="12" t="n"/>
      <c r="H80" s="12" t="n"/>
      <c r="I80" s="13">
        <f>IFERROR(IF(AND(G80&lt;&gt;"",H80&lt;&gt;""),(G80-H80)/G80,""),"")</f>
        <v/>
      </c>
      <c r="J80" s="12" t="n"/>
      <c r="K80" s="13">
        <f>IFERROR(IF(AND(G80&lt;&gt;"",J80&lt;&gt;""),J80/G80,""),"")</f>
        <v/>
      </c>
      <c r="L80" s="30" t="n"/>
      <c r="M80" s="31" t="n"/>
    </row>
    <row r="81" ht="19.5" customHeight="1" s="90">
      <c r="A81" s="17">
        <f>IF(C81&lt;&gt;"","P"&amp;TEXT(ROW()-2,"00"),"")</f>
        <v/>
      </c>
      <c r="B81" s="29" t="n"/>
      <c r="C81" s="30" t="n"/>
      <c r="D81" s="30" t="n"/>
      <c r="E81" s="30" t="n"/>
      <c r="F81" s="30" t="n"/>
      <c r="G81" s="12" t="n"/>
      <c r="H81" s="12" t="n"/>
      <c r="I81" s="13">
        <f>IFERROR(IF(AND(G81&lt;&gt;"",H81&lt;&gt;""),(G81-H81)/G81,""),"")</f>
        <v/>
      </c>
      <c r="J81" s="12" t="n"/>
      <c r="K81" s="13">
        <f>IFERROR(IF(AND(G81&lt;&gt;"",J81&lt;&gt;""),J81/G81,""),"")</f>
        <v/>
      </c>
      <c r="L81" s="30" t="n"/>
      <c r="M81" s="31" t="n"/>
    </row>
    <row r="82" ht="19.5" customHeight="1" s="90">
      <c r="A82" s="17">
        <f>IF(C82&lt;&gt;"","P"&amp;TEXT(ROW()-2,"00"),"")</f>
        <v/>
      </c>
      <c r="B82" s="29" t="n"/>
      <c r="C82" s="30" t="n"/>
      <c r="D82" s="30" t="n"/>
      <c r="E82" s="30" t="n"/>
      <c r="F82" s="30" t="n"/>
      <c r="G82" s="12" t="n"/>
      <c r="H82" s="12" t="n"/>
      <c r="I82" s="13">
        <f>IFERROR(IF(AND(G82&lt;&gt;"",H82&lt;&gt;""),(G82-H82)/G82,""),"")</f>
        <v/>
      </c>
      <c r="J82" s="12" t="n"/>
      <c r="K82" s="13">
        <f>IFERROR(IF(AND(G82&lt;&gt;"",J82&lt;&gt;""),J82/G82,""),"")</f>
        <v/>
      </c>
      <c r="L82" s="30" t="n"/>
      <c r="M82" s="31" t="n"/>
    </row>
    <row r="83" ht="19.5" customHeight="1" s="90">
      <c r="A83" s="17">
        <f>IF(C83&lt;&gt;"","P"&amp;TEXT(ROW()-2,"00"),"")</f>
        <v/>
      </c>
      <c r="B83" s="29" t="n"/>
      <c r="C83" s="30" t="n"/>
      <c r="D83" s="30" t="n"/>
      <c r="E83" s="30" t="n"/>
      <c r="F83" s="30" t="n"/>
      <c r="G83" s="12" t="n"/>
      <c r="H83" s="12" t="n"/>
      <c r="I83" s="13">
        <f>IFERROR(IF(AND(G83&lt;&gt;"",H83&lt;&gt;""),(G83-H83)/G83,""),"")</f>
        <v/>
      </c>
      <c r="J83" s="12" t="n"/>
      <c r="K83" s="13">
        <f>IFERROR(IF(AND(G83&lt;&gt;"",J83&lt;&gt;""),J83/G83,""),"")</f>
        <v/>
      </c>
      <c r="L83" s="30" t="n"/>
      <c r="M83" s="31" t="n"/>
    </row>
    <row r="84" ht="19.5" customHeight="1" s="90">
      <c r="A84" s="17">
        <f>IF(C84&lt;&gt;"","P"&amp;TEXT(ROW()-2,"00"),"")</f>
        <v/>
      </c>
      <c r="B84" s="29" t="n"/>
      <c r="C84" s="30" t="n"/>
      <c r="D84" s="30" t="n"/>
      <c r="E84" s="30" t="n"/>
      <c r="F84" s="30" t="n"/>
      <c r="G84" s="12" t="n"/>
      <c r="H84" s="12" t="n"/>
      <c r="I84" s="13">
        <f>IFERROR(IF(AND(G84&lt;&gt;"",H84&lt;&gt;""),(G84-H84)/G84,""),"")</f>
        <v/>
      </c>
      <c r="J84" s="12" t="n"/>
      <c r="K84" s="13">
        <f>IFERROR(IF(AND(G84&lt;&gt;"",J84&lt;&gt;""),J84/G84,""),"")</f>
        <v/>
      </c>
      <c r="L84" s="30" t="n"/>
      <c r="M84" s="31" t="n"/>
    </row>
    <row r="85" ht="19.5" customHeight="1" s="90">
      <c r="A85" s="17">
        <f>IF(C85&lt;&gt;"","P"&amp;TEXT(ROW()-2,"00"),"")</f>
        <v/>
      </c>
      <c r="B85" s="29" t="n"/>
      <c r="C85" s="30" t="n"/>
      <c r="D85" s="30" t="n"/>
      <c r="E85" s="30" t="n"/>
      <c r="F85" s="30" t="n"/>
      <c r="G85" s="12" t="n"/>
      <c r="H85" s="12" t="n"/>
      <c r="I85" s="13">
        <f>IFERROR(IF(AND(G85&lt;&gt;"",H85&lt;&gt;""),(G85-H85)/G85,""),"")</f>
        <v/>
      </c>
      <c r="J85" s="12" t="n"/>
      <c r="K85" s="13">
        <f>IFERROR(IF(AND(G85&lt;&gt;"",J85&lt;&gt;""),J85/G85,""),"")</f>
        <v/>
      </c>
      <c r="L85" s="30" t="n"/>
      <c r="M85" s="31" t="n"/>
    </row>
    <row r="86" ht="19.5" customHeight="1" s="90">
      <c r="A86" s="17">
        <f>IF(C86&lt;&gt;"","P"&amp;TEXT(ROW()-2,"00"),"")</f>
        <v/>
      </c>
      <c r="B86" s="29" t="n"/>
      <c r="C86" s="30" t="n"/>
      <c r="D86" s="30" t="n"/>
      <c r="E86" s="30" t="n"/>
      <c r="F86" s="30" t="n"/>
      <c r="G86" s="12" t="n"/>
      <c r="H86" s="12" t="n"/>
      <c r="I86" s="13">
        <f>IFERROR(IF(AND(G86&lt;&gt;"",H86&lt;&gt;""),(G86-H86)/G86,""),"")</f>
        <v/>
      </c>
      <c r="J86" s="12" t="n"/>
      <c r="K86" s="13">
        <f>IFERROR(IF(AND(G86&lt;&gt;"",J86&lt;&gt;""),J86/G86,""),"")</f>
        <v/>
      </c>
      <c r="L86" s="30" t="n"/>
      <c r="M86" s="31" t="n"/>
    </row>
    <row r="87" ht="19.5" customHeight="1" s="90">
      <c r="A87" s="17">
        <f>IF(C87&lt;&gt;"","P"&amp;TEXT(ROW()-2,"00"),"")</f>
        <v/>
      </c>
      <c r="B87" s="29" t="n"/>
      <c r="C87" s="30" t="n"/>
      <c r="D87" s="30" t="n"/>
      <c r="E87" s="30" t="n"/>
      <c r="F87" s="30" t="n"/>
      <c r="G87" s="12" t="n"/>
      <c r="H87" s="12" t="n"/>
      <c r="I87" s="13">
        <f>IFERROR(IF(AND(G87&lt;&gt;"",H87&lt;&gt;""),(G87-H87)/G87,""),"")</f>
        <v/>
      </c>
      <c r="J87" s="12" t="n"/>
      <c r="K87" s="13">
        <f>IFERROR(IF(AND(G87&lt;&gt;"",J87&lt;&gt;""),J87/G87,""),"")</f>
        <v/>
      </c>
      <c r="L87" s="30" t="n"/>
      <c r="M87" s="31" t="n"/>
    </row>
    <row r="88" ht="19.5" customHeight="1" s="90">
      <c r="A88" s="17">
        <f>IF(C88&lt;&gt;"","P"&amp;TEXT(ROW()-2,"00"),"")</f>
        <v/>
      </c>
      <c r="B88" s="29" t="n"/>
      <c r="C88" s="30" t="n"/>
      <c r="D88" s="30" t="n"/>
      <c r="E88" s="30" t="n"/>
      <c r="F88" s="30" t="n"/>
      <c r="G88" s="12" t="n"/>
      <c r="H88" s="12" t="n"/>
      <c r="I88" s="13">
        <f>IFERROR(IF(AND(G88&lt;&gt;"",H88&lt;&gt;""),(G88-H88)/G88,""),"")</f>
        <v/>
      </c>
      <c r="J88" s="12" t="n"/>
      <c r="K88" s="13">
        <f>IFERROR(IF(AND(G88&lt;&gt;"",J88&lt;&gt;""),J88/G88,""),"")</f>
        <v/>
      </c>
      <c r="L88" s="30" t="n"/>
      <c r="M88" s="31" t="n"/>
    </row>
    <row r="89" ht="19.5" customHeight="1" s="90">
      <c r="A89" s="17">
        <f>IF(C89&lt;&gt;"","P"&amp;TEXT(ROW()-2,"00"),"")</f>
        <v/>
      </c>
      <c r="B89" s="29" t="n"/>
      <c r="C89" s="30" t="n"/>
      <c r="D89" s="30" t="n"/>
      <c r="E89" s="30" t="n"/>
      <c r="F89" s="30" t="n"/>
      <c r="G89" s="12" t="n"/>
      <c r="H89" s="12" t="n"/>
      <c r="I89" s="13">
        <f>IFERROR(IF(AND(G89&lt;&gt;"",H89&lt;&gt;""),(G89-H89)/G89,""),"")</f>
        <v/>
      </c>
      <c r="J89" s="12" t="n"/>
      <c r="K89" s="13">
        <f>IFERROR(IF(AND(G89&lt;&gt;"",J89&lt;&gt;""),J89/G89,""),"")</f>
        <v/>
      </c>
      <c r="L89" s="30" t="n"/>
      <c r="M89" s="31" t="n"/>
    </row>
    <row r="90" ht="19.5" customHeight="1" s="90">
      <c r="A90" s="17">
        <f>IF(C90&lt;&gt;"","P"&amp;TEXT(ROW()-2,"00"),"")</f>
        <v/>
      </c>
      <c r="B90" s="29" t="n"/>
      <c r="C90" s="30" t="n"/>
      <c r="D90" s="30" t="n"/>
      <c r="E90" s="30" t="n"/>
      <c r="F90" s="30" t="n"/>
      <c r="G90" s="12" t="n"/>
      <c r="H90" s="12" t="n"/>
      <c r="I90" s="13">
        <f>IFERROR(IF(AND(G90&lt;&gt;"",H90&lt;&gt;""),(G90-H90)/G90,""),"")</f>
        <v/>
      </c>
      <c r="J90" s="12" t="n"/>
      <c r="K90" s="13">
        <f>IFERROR(IF(AND(G90&lt;&gt;"",J90&lt;&gt;""),J90/G90,""),"")</f>
        <v/>
      </c>
      <c r="L90" s="30" t="n"/>
      <c r="M90" s="31" t="n"/>
    </row>
    <row r="91" ht="19.5" customHeight="1" s="90">
      <c r="A91" s="17">
        <f>IF(C91&lt;&gt;"","P"&amp;TEXT(ROW()-2,"00"),"")</f>
        <v/>
      </c>
      <c r="B91" s="29" t="n"/>
      <c r="C91" s="30" t="n"/>
      <c r="D91" s="30" t="n"/>
      <c r="E91" s="30" t="n"/>
      <c r="F91" s="30" t="n"/>
      <c r="G91" s="12" t="n"/>
      <c r="H91" s="12" t="n"/>
      <c r="I91" s="13">
        <f>IFERROR(IF(AND(G91&lt;&gt;"",H91&lt;&gt;""),(G91-H91)/G91,""),"")</f>
        <v/>
      </c>
      <c r="J91" s="12" t="n"/>
      <c r="K91" s="13">
        <f>IFERROR(IF(AND(G91&lt;&gt;"",J91&lt;&gt;""),J91/G91,""),"")</f>
        <v/>
      </c>
      <c r="L91" s="30" t="n"/>
      <c r="M91" s="31" t="n"/>
    </row>
    <row r="92" ht="19.5" customHeight="1" s="90">
      <c r="A92" s="17">
        <f>IF(C92&lt;&gt;"","P"&amp;TEXT(ROW()-2,"00"),"")</f>
        <v/>
      </c>
      <c r="B92" s="29" t="n"/>
      <c r="C92" s="30" t="n"/>
      <c r="D92" s="30" t="n"/>
      <c r="E92" s="30" t="n"/>
      <c r="F92" s="30" t="n"/>
      <c r="G92" s="12" t="n"/>
      <c r="H92" s="12" t="n"/>
      <c r="I92" s="13">
        <f>IFERROR(IF(AND(G92&lt;&gt;"",H92&lt;&gt;""),(G92-H92)/G92,""),"")</f>
        <v/>
      </c>
      <c r="J92" s="12" t="n"/>
      <c r="K92" s="13">
        <f>IFERROR(IF(AND(G92&lt;&gt;"",J92&lt;&gt;""),J92/G92,""),"")</f>
        <v/>
      </c>
      <c r="L92" s="30" t="n"/>
      <c r="M92" s="31" t="n"/>
    </row>
    <row r="93" ht="19.5" customHeight="1" s="90">
      <c r="A93" s="17">
        <f>IF(C93&lt;&gt;"","P"&amp;TEXT(ROW()-2,"00"),"")</f>
        <v/>
      </c>
      <c r="B93" s="29" t="n"/>
      <c r="C93" s="30" t="n"/>
      <c r="D93" s="30" t="n"/>
      <c r="E93" s="30" t="n"/>
      <c r="F93" s="30" t="n"/>
      <c r="G93" s="12" t="n"/>
      <c r="H93" s="12" t="n"/>
      <c r="I93" s="13">
        <f>IFERROR(IF(AND(G93&lt;&gt;"",H93&lt;&gt;""),(G93-H93)/G93,""),"")</f>
        <v/>
      </c>
      <c r="J93" s="12" t="n"/>
      <c r="K93" s="13">
        <f>IFERROR(IF(AND(G93&lt;&gt;"",J93&lt;&gt;""),J93/G93,""),"")</f>
        <v/>
      </c>
      <c r="L93" s="30" t="n"/>
      <c r="M93" s="31" t="n"/>
    </row>
    <row r="94" ht="19.5" customHeight="1" s="90">
      <c r="A94" s="17">
        <f>IF(C94&lt;&gt;"","P"&amp;TEXT(ROW()-2,"00"),"")</f>
        <v/>
      </c>
      <c r="B94" s="29" t="n"/>
      <c r="C94" s="30" t="n"/>
      <c r="D94" s="30" t="n"/>
      <c r="E94" s="30" t="n"/>
      <c r="F94" s="30" t="n"/>
      <c r="G94" s="12" t="n"/>
      <c r="H94" s="12" t="n"/>
      <c r="I94" s="13">
        <f>IFERROR(IF(AND(G94&lt;&gt;"",H94&lt;&gt;""),(G94-H94)/G94,""),"")</f>
        <v/>
      </c>
      <c r="J94" s="12" t="n"/>
      <c r="K94" s="13">
        <f>IFERROR(IF(AND(G94&lt;&gt;"",J94&lt;&gt;""),J94/G94,""),"")</f>
        <v/>
      </c>
      <c r="L94" s="30" t="n"/>
      <c r="M94" s="31" t="n"/>
    </row>
    <row r="95" ht="19.5" customHeight="1" s="90">
      <c r="A95" s="17">
        <f>IF(C95&lt;&gt;"","P"&amp;TEXT(ROW()-2,"00"),"")</f>
        <v/>
      </c>
      <c r="B95" s="29" t="n"/>
      <c r="C95" s="30" t="n"/>
      <c r="D95" s="30" t="n"/>
      <c r="E95" s="30" t="n"/>
      <c r="F95" s="30" t="n"/>
      <c r="G95" s="12" t="n"/>
      <c r="H95" s="12" t="n"/>
      <c r="I95" s="13">
        <f>IFERROR(IF(AND(G95&lt;&gt;"",H95&lt;&gt;""),(G95-H95)/G95,""),"")</f>
        <v/>
      </c>
      <c r="J95" s="12" t="n"/>
      <c r="K95" s="13">
        <f>IFERROR(IF(AND(G95&lt;&gt;"",J95&lt;&gt;""),J95/G95,""),"")</f>
        <v/>
      </c>
      <c r="L95" s="30" t="n"/>
      <c r="M95" s="31" t="n"/>
    </row>
    <row r="96" ht="19.5" customHeight="1" s="90">
      <c r="A96" s="17">
        <f>IF(C96&lt;&gt;"","P"&amp;TEXT(ROW()-2,"00"),"")</f>
        <v/>
      </c>
      <c r="B96" s="29" t="n"/>
      <c r="C96" s="30" t="n"/>
      <c r="D96" s="30" t="n"/>
      <c r="E96" s="30" t="n"/>
      <c r="F96" s="30" t="n"/>
      <c r="G96" s="12" t="n"/>
      <c r="H96" s="12" t="n"/>
      <c r="I96" s="13">
        <f>IFERROR(IF(AND(G96&lt;&gt;"",H96&lt;&gt;""),(G96-H96)/G96,""),"")</f>
        <v/>
      </c>
      <c r="J96" s="12" t="n"/>
      <c r="K96" s="13">
        <f>IFERROR(IF(AND(G96&lt;&gt;"",J96&lt;&gt;""),J96/G96,""),"")</f>
        <v/>
      </c>
      <c r="L96" s="30" t="n"/>
      <c r="M96" s="31" t="n"/>
    </row>
    <row r="97" ht="19.5" customHeight="1" s="90">
      <c r="A97" s="17">
        <f>IF(C97&lt;&gt;"","P"&amp;TEXT(ROW()-2,"00"),"")</f>
        <v/>
      </c>
      <c r="B97" s="29" t="n"/>
      <c r="C97" s="30" t="n"/>
      <c r="D97" s="30" t="n"/>
      <c r="E97" s="30" t="n"/>
      <c r="F97" s="30" t="n"/>
      <c r="G97" s="12" t="n"/>
      <c r="H97" s="12" t="n"/>
      <c r="I97" s="13">
        <f>IFERROR(IF(AND(G97&lt;&gt;"",H97&lt;&gt;""),(G97-H97)/G97,""),"")</f>
        <v/>
      </c>
      <c r="J97" s="12" t="n"/>
      <c r="K97" s="13">
        <f>IFERROR(IF(AND(G97&lt;&gt;"",J97&lt;&gt;""),J97/G97,""),"")</f>
        <v/>
      </c>
      <c r="L97" s="30" t="n"/>
      <c r="M97" s="31" t="n"/>
    </row>
    <row r="98" ht="19.5" customHeight="1" s="90">
      <c r="A98" s="17">
        <f>IF(C98&lt;&gt;"","P"&amp;TEXT(ROW()-2,"00"),"")</f>
        <v/>
      </c>
      <c r="B98" s="29" t="n"/>
      <c r="C98" s="30" t="n"/>
      <c r="D98" s="30" t="n"/>
      <c r="E98" s="30" t="n"/>
      <c r="F98" s="30" t="n"/>
      <c r="G98" s="12" t="n"/>
      <c r="H98" s="12" t="n"/>
      <c r="I98" s="13">
        <f>IFERROR(IF(AND(G98&lt;&gt;"",H98&lt;&gt;""),(G98-H98)/G98,""),"")</f>
        <v/>
      </c>
      <c r="J98" s="12" t="n"/>
      <c r="K98" s="13">
        <f>IFERROR(IF(AND(G98&lt;&gt;"",J98&lt;&gt;""),J98/G98,""),"")</f>
        <v/>
      </c>
      <c r="L98" s="30" t="n"/>
      <c r="M98" s="31" t="n"/>
    </row>
    <row r="99" ht="19.5" customHeight="1" s="90">
      <c r="A99" s="17">
        <f>IF(C99&lt;&gt;"","P"&amp;TEXT(ROW()-2,"00"),"")</f>
        <v/>
      </c>
      <c r="B99" s="29" t="n"/>
      <c r="C99" s="30" t="n"/>
      <c r="D99" s="30" t="n"/>
      <c r="E99" s="30" t="n"/>
      <c r="F99" s="30" t="n"/>
      <c r="G99" s="12" t="n"/>
      <c r="H99" s="12" t="n"/>
      <c r="I99" s="13">
        <f>IFERROR(IF(AND(G99&lt;&gt;"",H99&lt;&gt;""),(G99-H99)/G99,""),"")</f>
        <v/>
      </c>
      <c r="J99" s="12" t="n"/>
      <c r="K99" s="13">
        <f>IFERROR(IF(AND(G99&lt;&gt;"",J99&lt;&gt;""),J99/G99,""),"")</f>
        <v/>
      </c>
      <c r="L99" s="30" t="n"/>
      <c r="M99" s="31" t="n"/>
    </row>
    <row r="100" ht="19.5" customHeight="1" s="90">
      <c r="A100" s="17">
        <f>IF(C100&lt;&gt;"","P"&amp;TEXT(ROW()-2,"00"),"")</f>
        <v/>
      </c>
      <c r="B100" s="29" t="n"/>
      <c r="C100" s="30" t="n"/>
      <c r="D100" s="30" t="n"/>
      <c r="E100" s="30" t="n"/>
      <c r="F100" s="30" t="n"/>
      <c r="G100" s="12" t="n"/>
      <c r="H100" s="12" t="n"/>
      <c r="I100" s="13">
        <f>IFERROR(IF(AND(G100&lt;&gt;"",H100&lt;&gt;""),(G100-H100)/G100,""),"")</f>
        <v/>
      </c>
      <c r="J100" s="12" t="n"/>
      <c r="K100" s="13">
        <f>IFERROR(IF(AND(G100&lt;&gt;"",J100&lt;&gt;""),J100/G100,""),"")</f>
        <v/>
      </c>
      <c r="L100" s="30" t="n"/>
      <c r="M100" s="31" t="n"/>
    </row>
    <row r="101" ht="19.5" customHeight="1" s="90">
      <c r="A101" s="17">
        <f>IF(C101&lt;&gt;"","P"&amp;TEXT(ROW()-2,"00"),"")</f>
        <v/>
      </c>
      <c r="B101" s="29" t="n"/>
      <c r="C101" s="30" t="n"/>
      <c r="D101" s="30" t="n"/>
      <c r="E101" s="30" t="n"/>
      <c r="F101" s="30" t="n"/>
      <c r="G101" s="12" t="n"/>
      <c r="H101" s="12" t="n"/>
      <c r="I101" s="13">
        <f>IFERROR(IF(AND(G101&lt;&gt;"",H101&lt;&gt;""),(G101-H101)/G101,""),"")</f>
        <v/>
      </c>
      <c r="J101" s="12" t="n"/>
      <c r="K101" s="13">
        <f>IFERROR(IF(AND(G101&lt;&gt;"",J101&lt;&gt;""),J101/G101,""),"")</f>
        <v/>
      </c>
      <c r="L101" s="30" t="n"/>
      <c r="M101" s="31" t="n"/>
    </row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</sheetData>
  <mergeCells count="1">
    <mergeCell ref="A1:M1"/>
  </mergeCells>
  <conditionalFormatting sqref="C3:L101">
    <cfRule type="expression" priority="1" dxfId="0">
      <formula>$B3="Manteco"</formula>
    </cfRule>
    <cfRule type="expression" priority="2" dxfId="1">
      <formula>$B3="Control"</formula>
    </cfRule>
  </conditionalFormatting>
  <conditionalFormatting sqref="B3:B101">
    <cfRule type="expression" priority="3" dxfId="2">
      <formula>$B3="Manteco"</formula>
    </cfRule>
    <cfRule type="expression" priority="4" dxfId="3">
      <formula>$B3="Control"</formula>
    </cfRule>
  </conditionalFormatting>
  <dataValidations count="3">
    <dataValidation sqref="F3:F101" showDropDown="0" showInputMessage="0" showErrorMessage="0" allowBlank="1" type="list">
      <formula1>"FW24,SS25,FW25,SS26,FW23,SS24,CW26"</formula1>
    </dataValidation>
    <dataValidation sqref="B3:B101" showDropDown="0" showInputMessage="0" showErrorMessage="0" allowBlank="1" type="list">
      <formula1>"Manteco,Control"</formula1>
    </dataValidation>
    <dataValidation sqref="E3:E101" showDropDown="0" showInputMessage="0" showErrorMessage="0" allowBlank="1" type="list">
      <formula1>"Coat,Jacket,Blazer,Trousers,Suit,Knitwear,Other"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location=":~:text=Fabric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location=":~:text=%2A%2070,wearing%20size%2050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location=":~:text=%2A%20Shell%20fabric%20%3A%2065,Polyamide%20%2F%20Nylon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location=":~:text=CAPPOTTO%20MISTO%20LANA%20MANTECO%20ZW,COLLECTION%20LIMITED%20EDITION" r:id="rId47"/>
    <hyperlink xmlns:r="http://schemas.openxmlformats.org/officeDocument/2006/relationships" ref="M50" r:id="rId48"/>
    <hyperlink xmlns:r="http://schemas.openxmlformats.org/officeDocument/2006/relationships" ref="M51" location=":~:text=La%20giacca%20Fortela%20Genny%20è,ed%20il%20peso%20è%20medio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</hyperlink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V52"/>
  <sheetViews>
    <sheetView showGridLines="0" workbookViewId="0">
      <selection activeCell="A1" sqref="A1"/>
    </sheetView>
  </sheetViews>
  <sheetFormatPr baseColWidth="8" defaultColWidth="14.43" defaultRowHeight="15" customHeight="1"/>
  <cols>
    <col width="9" customWidth="1" style="90" min="1" max="1"/>
    <col width="18" customWidth="1" style="90" min="2" max="2"/>
    <col width="22" customWidth="1" style="90" min="3" max="3"/>
    <col width="12" customWidth="1" style="90" min="4" max="4"/>
    <col width="10" customWidth="1" style="90" min="5" max="5"/>
    <col width="12" customWidth="1" style="90" min="6" max="7"/>
    <col width="14" customWidth="1" style="90" min="8" max="9"/>
    <col width="13" customWidth="1" style="90" min="10" max="10"/>
    <col width="12" customWidth="1" style="90" min="11" max="11"/>
    <col width="81" customWidth="1" style="90" min="12" max="12"/>
    <col width="120.14" customWidth="1" style="90" min="13" max="13"/>
    <col width="77.29000000000001" customWidth="1" style="90" min="14" max="14"/>
    <col width="8.710000000000001" customWidth="1" style="90" min="15" max="26"/>
  </cols>
  <sheetData>
    <row r="1" ht="31.5" customHeight="1" s="90">
      <c r="A1" s="91" t="inlineStr">
        <is>
          <t>MANTECO PRICE RESILIENCE — Matched Pairs</t>
        </is>
      </c>
      <c r="L1" s="91" t="n"/>
    </row>
    <row r="2" ht="36" customHeight="1" s="90">
      <c r="A2" s="4" t="inlineStr">
        <is>
          <t>Pair ID</t>
        </is>
      </c>
      <c r="B2" s="4" t="inlineStr">
        <is>
          <t>Brand</t>
        </is>
      </c>
      <c r="C2" s="4" t="inlineStr">
        <is>
          <t>Tier</t>
        </is>
      </c>
      <c r="D2" s="4" t="inlineStr">
        <is>
          <t>Category</t>
        </is>
      </c>
      <c r="E2" s="4" t="inlineStr">
        <is>
          <t>Season</t>
        </is>
      </c>
      <c r="F2" s="4" t="inlineStr">
        <is>
          <t>Manteco
Prod. ID</t>
        </is>
      </c>
      <c r="G2" s="4" t="inlineStr">
        <is>
          <t>Control
Prod. ID</t>
        </is>
      </c>
      <c r="H2" s="32" t="inlineStr">
        <is>
          <t>M: Retail ($)</t>
        </is>
      </c>
      <c r="I2" s="33" t="inlineStr">
        <is>
          <t>C: Retail ($)</t>
        </is>
      </c>
      <c r="J2" s="4" t="inlineStr">
        <is>
          <t>Premium $</t>
        </is>
      </c>
      <c r="K2" s="4" t="inlineStr">
        <is>
          <t>Premium %</t>
        </is>
      </c>
      <c r="L2" s="32" t="inlineStr">
        <is>
          <t>Manteco Links</t>
        </is>
      </c>
      <c r="M2" s="33" t="inlineStr">
        <is>
          <t>Control Links</t>
        </is>
      </c>
      <c r="N2" s="34" t="inlineStr">
        <is>
          <t>Possible Replacements</t>
        </is>
      </c>
    </row>
    <row r="3">
      <c r="A3" s="42">
        <f>IF(B3&lt;&gt;"","PA"&amp;TEXT(ROW()-2,"00"),"")</f>
        <v/>
      </c>
      <c r="B3" s="30" t="inlineStr">
        <is>
          <t>Zara</t>
        </is>
      </c>
      <c r="C3" s="30" t="inlineStr">
        <is>
          <t>Fast Fashion Premium</t>
        </is>
      </c>
      <c r="D3" s="30" t="inlineStr">
        <is>
          <t>Coat</t>
        </is>
      </c>
      <c r="E3" s="30" t="inlineStr">
        <is>
          <t>CW26</t>
        </is>
      </c>
      <c r="F3" s="29" t="inlineStr">
        <is>
          <t>P09</t>
        </is>
      </c>
      <c r="G3" s="29" t="inlineStr">
        <is>
          <t>P10</t>
        </is>
      </c>
      <c r="H3" s="44">
        <f>IFERROR(VLOOKUP(F3,Products!A:G,7,0),"")</f>
        <v/>
      </c>
      <c r="I3" s="37">
        <f>IFERROR(VLOOKUP(G3,Products!A:G,7,0),"")</f>
        <v/>
      </c>
      <c r="J3" s="38">
        <f>IFERROR(IF(AND(H3&lt;&gt;"",I3&lt;&gt;""),H3-I3,""),"")</f>
        <v/>
      </c>
      <c r="K3" s="13">
        <f>IFERROR(IF(AND(H3&lt;&gt;"",I3&lt;&gt;"",I3&lt;&gt;0),(H3-I3)/I3,""),"")</f>
        <v/>
      </c>
      <c r="L3" s="39">
        <f>IFERROR(VLOOKUP(F3,Products!A:M,13,0),"")</f>
        <v/>
      </c>
      <c r="M3" s="40">
        <f>IFERROR(VLOOKUP(G3,Products!A:M,13,0),"")</f>
        <v/>
      </c>
    </row>
    <row r="4">
      <c r="A4" s="17">
        <f>IF(B4&lt;&gt;"","PA"&amp;TEXT(ROW()-2,"00"),"")</f>
        <v/>
      </c>
      <c r="B4" s="30" t="inlineStr">
        <is>
          <t>Zara</t>
        </is>
      </c>
      <c r="C4" s="30" t="inlineStr">
        <is>
          <t>Fast Fashion Premium</t>
        </is>
      </c>
      <c r="D4" s="30" t="inlineStr">
        <is>
          <t>Coat</t>
        </is>
      </c>
      <c r="E4" s="30" t="inlineStr">
        <is>
          <t>CW26</t>
        </is>
      </c>
      <c r="F4" s="29" t="inlineStr">
        <is>
          <t>P11</t>
        </is>
      </c>
      <c r="G4" s="29" t="inlineStr">
        <is>
          <t>P12</t>
        </is>
      </c>
      <c r="H4" s="44">
        <f>IFERROR(VLOOKUP(F4,Products!A:G,7,0),"")</f>
        <v/>
      </c>
      <c r="I4" s="37">
        <f>IFERROR(VLOOKUP(G4,Products!A:G,7,0),"")</f>
        <v/>
      </c>
      <c r="J4" s="38">
        <f>IFERROR(IF(AND(H4&lt;&gt;"",I4&lt;&gt;""),H4-I4,""),"")</f>
        <v/>
      </c>
      <c r="K4" s="13">
        <f>IFERROR(IF(AND(H4&lt;&gt;"",I4&lt;&gt;"",I4&lt;&gt;0),(H4-I4)/I4,""),"")</f>
        <v/>
      </c>
      <c r="L4" s="39">
        <f>IFERROR(VLOOKUP(F4,Products!A:M,13,0),"")</f>
        <v/>
      </c>
      <c r="M4" s="40">
        <f>IFERROR(VLOOKUP(G4,Products!A:M,13,0),"")</f>
        <v/>
      </c>
    </row>
    <row r="5">
      <c r="A5" s="17" t="inlineStr">
        <is>
          <t>PA03</t>
        </is>
      </c>
      <c r="B5" s="30" t="inlineStr">
        <is>
          <t>Zara</t>
        </is>
      </c>
      <c r="C5" s="30" t="inlineStr">
        <is>
          <t>Fast Fashion Premium</t>
        </is>
      </c>
      <c r="D5" s="30" t="inlineStr">
        <is>
          <t>Coat</t>
        </is>
      </c>
      <c r="E5" s="30" t="inlineStr">
        <is>
          <t>CW26</t>
        </is>
      </c>
      <c r="F5" s="29" t="inlineStr">
        <is>
          <t>P19</t>
        </is>
      </c>
      <c r="G5" s="29" t="inlineStr">
        <is>
          <t>P20</t>
        </is>
      </c>
      <c r="H5" s="44">
        <f>IFERROR(VLOOKUP(F5,Products!A:G,7,0),"")</f>
        <v/>
      </c>
      <c r="I5" s="37">
        <f>IFERROR(VLOOKUP(G5,Products!A:G,7,0),"")</f>
        <v/>
      </c>
      <c r="J5" s="38">
        <f>IFERROR(IF(AND(H5&lt;&gt;"",I5&lt;&gt;""),H5-I5,""),"")</f>
        <v/>
      </c>
      <c r="K5" s="13">
        <f>IFERROR(IF(AND(H5&lt;&gt;"",I5&lt;&gt;"",I5&lt;&gt;0),(H5-I5)/I5,""),"")</f>
        <v/>
      </c>
      <c r="L5" s="41" t="inlineStr">
        <is>
          <t>https://www.zara.com/us/en/manteco-wool-coat-zw-collection-limited-edition-p02100762.html</t>
        </is>
      </c>
      <c r="M5" s="40">
        <f>IFERROR(VLOOKUP(G5,Products!A:M,13,0),"")</f>
        <v/>
      </c>
    </row>
    <row r="6">
      <c r="A6" s="42" t="inlineStr">
        <is>
          <t>PA04</t>
        </is>
      </c>
      <c r="B6" s="30" t="inlineStr">
        <is>
          <t>Zara</t>
        </is>
      </c>
      <c r="C6" s="30" t="inlineStr">
        <is>
          <t>Fast Fashion Premium</t>
        </is>
      </c>
      <c r="D6" s="30" t="inlineStr">
        <is>
          <t>Coat</t>
        </is>
      </c>
      <c r="E6" s="30" t="inlineStr">
        <is>
          <t>CW26</t>
        </is>
      </c>
      <c r="F6" s="29" t="inlineStr">
        <is>
          <t>P46</t>
        </is>
      </c>
      <c r="G6" s="29" t="inlineStr">
        <is>
          <t>P62</t>
        </is>
      </c>
      <c r="H6" s="44">
        <f>IFERROR(VLOOKUP(F6,Products!A:G,7,0),"")</f>
        <v/>
      </c>
      <c r="I6" s="37">
        <f>IFERROR(VLOOKUP(G6,Products!A:G,7,0),"")</f>
        <v/>
      </c>
      <c r="J6" s="38">
        <f>IFERROR(IF(AND(H6&lt;&gt;"",I6&lt;&gt;""),H6-I6,""),"")</f>
        <v/>
      </c>
      <c r="K6" s="13">
        <f>IFERROR(IF(AND(H6&lt;&gt;"",I6&lt;&gt;"",I6&lt;&gt;0),(H6-I6)/I6,""),"")</f>
        <v/>
      </c>
      <c r="L6" s="39">
        <f>IFERROR(VLOOKUP(F6,Products!A:M,13,0),"")</f>
        <v/>
      </c>
      <c r="M6" s="40">
        <f>IFERROR(VLOOKUP(G6,Products!A:M,13,0),"")</f>
        <v/>
      </c>
    </row>
    <row r="7">
      <c r="A7" s="42" t="inlineStr">
        <is>
          <t>PA05</t>
        </is>
      </c>
      <c r="B7" s="30" t="inlineStr">
        <is>
          <t>Mango</t>
        </is>
      </c>
      <c r="C7" s="30" t="inlineStr">
        <is>
          <t>Fast Fashion Premium</t>
        </is>
      </c>
      <c r="D7" s="30" t="inlineStr">
        <is>
          <t>Coat</t>
        </is>
      </c>
      <c r="E7" s="30" t="inlineStr">
        <is>
          <t>CW26</t>
        </is>
      </c>
      <c r="F7" s="29" t="inlineStr">
        <is>
          <t>P01</t>
        </is>
      </c>
      <c r="G7" s="29" t="inlineStr">
        <is>
          <t>P55</t>
        </is>
      </c>
      <c r="H7" s="44">
        <f>IFERROR(VLOOKUP(F7,Products!A:G,7,0),"")</f>
        <v/>
      </c>
      <c r="I7" s="37">
        <f>IFERROR(VLOOKUP(G7,Products!A:G,7,0),"")</f>
        <v/>
      </c>
      <c r="J7" s="38">
        <f>IFERROR(IF(AND(H7&lt;&gt;"",I7&lt;&gt;""),H7-I7,""),"")</f>
        <v/>
      </c>
      <c r="K7" s="13">
        <f>IFERROR(IF(AND(H7&lt;&gt;"",I7&lt;&gt;"",I7&lt;&gt;0),(H7-I7)/I7,""),"")</f>
        <v/>
      </c>
      <c r="L7" s="39">
        <f>IFERROR(VLOOKUP(F7,Products!A:M,13,0),"")</f>
        <v/>
      </c>
      <c r="M7" s="40">
        <f>IFERROR(VLOOKUP(G7,Products!A:M,13,0),"")</f>
        <v/>
      </c>
      <c r="N7" s="43" t="inlineStr">
        <is>
          <t>https://shop.mango.com/us/en/p/women/coats/coats/woollen-coat-with-belt_27044438</t>
        </is>
      </c>
    </row>
    <row r="8">
      <c r="A8" s="42" t="inlineStr">
        <is>
          <t>PA06</t>
        </is>
      </c>
      <c r="B8" s="30" t="inlineStr">
        <is>
          <t>Mango</t>
        </is>
      </c>
      <c r="C8" s="30" t="inlineStr">
        <is>
          <t>Fast Fashion Premium</t>
        </is>
      </c>
      <c r="D8" s="30" t="inlineStr">
        <is>
          <t>Coat</t>
        </is>
      </c>
      <c r="E8" s="30" t="inlineStr">
        <is>
          <t>CW26</t>
        </is>
      </c>
      <c r="F8" s="29" t="inlineStr">
        <is>
          <t>P05</t>
        </is>
      </c>
      <c r="G8" s="29" t="inlineStr">
        <is>
          <t>P56</t>
        </is>
      </c>
      <c r="H8" s="44" t="n">
        <v>329.99</v>
      </c>
      <c r="I8" s="37">
        <f>IFERROR(VLOOKUP(G8,Products!A:G,7,0),"")</f>
        <v/>
      </c>
      <c r="J8" s="38">
        <f>IFERROR(IF(AND(H8&lt;&gt;"",I8&lt;&gt;""),H8-I8,""),"")</f>
        <v/>
      </c>
      <c r="K8" s="13">
        <f>IFERROR(IF(AND(H8&lt;&gt;"",I8&lt;&gt;"",I8&lt;&gt;0),(H8-I8)/I8,""),"")</f>
        <v/>
      </c>
      <c r="L8" s="39">
        <f>IFERROR(VLOOKUP(F8,Products!A:M,13,0),"")</f>
        <v/>
      </c>
      <c r="M8" s="40">
        <f>IFERROR(VLOOKUP(G8,Products!A:M,13,0),"")</f>
        <v/>
      </c>
    </row>
    <row r="9">
      <c r="A9" s="42" t="inlineStr">
        <is>
          <t>PA07</t>
        </is>
      </c>
      <c r="B9" s="30" t="inlineStr">
        <is>
          <t>Mango</t>
        </is>
      </c>
      <c r="C9" s="30" t="inlineStr">
        <is>
          <t>Fast Fashion Premium</t>
        </is>
      </c>
      <c r="D9" s="30" t="inlineStr">
        <is>
          <t>Coat</t>
        </is>
      </c>
      <c r="E9" s="30" t="inlineStr">
        <is>
          <t>CW26</t>
        </is>
      </c>
      <c r="F9" s="29" t="inlineStr">
        <is>
          <t>P08</t>
        </is>
      </c>
      <c r="G9" s="29" t="inlineStr">
        <is>
          <t>P13</t>
        </is>
      </c>
      <c r="H9" s="44">
        <f>IFERROR(VLOOKUP(F9,Products!A:G,7,0),"")</f>
        <v/>
      </c>
      <c r="I9" s="37">
        <f>IFERROR(VLOOKUP(G9,Products!A:G,7,0),"")</f>
        <v/>
      </c>
      <c r="J9" s="38">
        <f>IFERROR(IF(AND(H9&lt;&gt;"",I9&lt;&gt;""),H9-I9,""),"")</f>
        <v/>
      </c>
      <c r="K9" s="13">
        <f>IFERROR(IF(AND(H9&lt;&gt;"",I9&lt;&gt;"",I9&lt;&gt;0),(H9-I9)/I9,""),"")</f>
        <v/>
      </c>
      <c r="L9" s="39">
        <f>IFERROR(VLOOKUP(F9,Products!A:M,13,0),"")</f>
        <v/>
      </c>
      <c r="M9" s="40">
        <f>IFERROR(VLOOKUP(G9,Products!A:M,13,0),"")</f>
        <v/>
      </c>
      <c r="N9" s="43" t="inlineStr">
        <is>
          <t>https://shop.mango.com/us/en/p/men/coats/coats/long-wool-coat_17086720?c=09</t>
        </is>
      </c>
    </row>
    <row r="10">
      <c r="A10" s="42" t="inlineStr">
        <is>
          <t>PA08</t>
        </is>
      </c>
      <c r="B10" s="30" t="inlineStr">
        <is>
          <t>H&amp;M</t>
        </is>
      </c>
      <c r="C10" s="30" t="inlineStr">
        <is>
          <t>Fast Fashion Premium</t>
        </is>
      </c>
      <c r="D10" s="30" t="inlineStr">
        <is>
          <t>Coat</t>
        </is>
      </c>
      <c r="E10" s="30" t="inlineStr">
        <is>
          <t>CW26</t>
        </is>
      </c>
      <c r="F10" s="29" t="inlineStr">
        <is>
          <t>P41</t>
        </is>
      </c>
      <c r="G10" s="29" t="inlineStr">
        <is>
          <t>P50</t>
        </is>
      </c>
      <c r="H10" s="44">
        <f>IFERROR(VLOOKUP(F10,Products!A:G,7,0),"")</f>
        <v/>
      </c>
      <c r="I10" s="37">
        <f>IFERROR(VLOOKUP(G10,Products!A:G,7,0),"")</f>
        <v/>
      </c>
      <c r="J10" s="38">
        <f>IFERROR(IF(AND(H10&lt;&gt;"",I10&lt;&gt;""),H10-I10,""),"")</f>
        <v/>
      </c>
      <c r="K10" s="13">
        <f>IFERROR(IF(AND(H10&lt;&gt;"",I10&lt;&gt;"",I10&lt;&gt;0),(H10-I10)/I10,""),"")</f>
        <v/>
      </c>
      <c r="L10" s="39">
        <f>IFERROR(VLOOKUP(F10,Products!A:M,13,0),"")</f>
        <v/>
      </c>
      <c r="M10" s="40">
        <f>IFERROR(VLOOKUP(G10,Products!A:M,13,0),"")</f>
        <v/>
      </c>
    </row>
    <row r="11">
      <c r="A11" s="17" t="inlineStr">
        <is>
          <t>PA09</t>
        </is>
      </c>
      <c r="B11" s="30" t="inlineStr">
        <is>
          <t>H&amp;M</t>
        </is>
      </c>
      <c r="C11" s="30" t="inlineStr">
        <is>
          <t>Fast Fashion Premium</t>
        </is>
      </c>
      <c r="D11" s="30" t="inlineStr">
        <is>
          <t>Coat</t>
        </is>
      </c>
      <c r="E11" s="30" t="inlineStr">
        <is>
          <t>CW06</t>
        </is>
      </c>
      <c r="F11" s="29" t="inlineStr">
        <is>
          <t>P42</t>
        </is>
      </c>
      <c r="G11" s="29" t="inlineStr">
        <is>
          <t>P51</t>
        </is>
      </c>
      <c r="H11" s="44">
        <f>IFERROR(VLOOKUP(F11,Products!A:G,7,0),"")</f>
        <v/>
      </c>
      <c r="I11" s="37">
        <f>IFERROR(VLOOKUP(G11,Products!A:G,7,0),"")</f>
        <v/>
      </c>
      <c r="J11" s="38">
        <f>IFERROR(IF(AND(H11&lt;&gt;"",I11&lt;&gt;""),H11-I11,""),"")</f>
        <v/>
      </c>
      <c r="K11" s="13">
        <f>IFERROR(IF(AND(H11&lt;&gt;"",I11&lt;&gt;"",I11&lt;&gt;0),(H11-I11)/I11,""),"")</f>
        <v/>
      </c>
      <c r="L11" s="39">
        <f>IFERROR(VLOOKUP(F11,Products!A:M,13,0),"")</f>
        <v/>
      </c>
      <c r="M11" s="40">
        <f>IFERROR(VLOOKUP(G11,Products!A:M,13,0),"")</f>
        <v/>
      </c>
    </row>
    <row r="12">
      <c r="A12" s="17" t="inlineStr">
        <is>
          <t>PA10</t>
        </is>
      </c>
      <c r="B12" s="30" t="inlineStr">
        <is>
          <t>H&amp;M</t>
        </is>
      </c>
      <c r="C12" s="30" t="inlineStr">
        <is>
          <t>Fast Fashion Premium</t>
        </is>
      </c>
      <c r="D12" s="30" t="inlineStr">
        <is>
          <t>Coat</t>
        </is>
      </c>
      <c r="E12" s="30" t="inlineStr">
        <is>
          <t>CW06</t>
        </is>
      </c>
      <c r="F12" s="29" t="inlineStr">
        <is>
          <t>P43</t>
        </is>
      </c>
      <c r="G12" s="29" t="inlineStr">
        <is>
          <t>P52</t>
        </is>
      </c>
      <c r="H12" s="44">
        <f>IFERROR(VLOOKUP(F12,Products!A:G,7,0),"")</f>
        <v/>
      </c>
      <c r="I12" s="37">
        <f>IFERROR(VLOOKUP(G12,Products!A:G,7,0),"")</f>
        <v/>
      </c>
      <c r="J12" s="38">
        <f>IFERROR(IF(AND(H12&lt;&gt;"",I12&lt;&gt;""),H12-I12,""),"")</f>
        <v/>
      </c>
      <c r="K12" s="13">
        <f>IFERROR(IF(AND(H12&lt;&gt;"",I12&lt;&gt;"",I12&lt;&gt;0),(H12-I12)/I12,""),"")</f>
        <v/>
      </c>
      <c r="L12" s="39">
        <f>IFERROR(VLOOKUP(F12,Products!A:M,13,0),"")</f>
        <v/>
      </c>
      <c r="M12" s="40">
        <f>IFERROR(VLOOKUP(G12,Products!A:M,13,0),"")</f>
        <v/>
      </c>
    </row>
    <row r="13">
      <c r="A13" s="17" t="inlineStr">
        <is>
          <t>PA11</t>
        </is>
      </c>
      <c r="B13" s="30" t="inlineStr">
        <is>
          <t>COS</t>
        </is>
      </c>
      <c r="C13" s="30" t="inlineStr">
        <is>
          <t>Contemporary Premium</t>
        </is>
      </c>
      <c r="D13" s="30" t="inlineStr">
        <is>
          <t>Coat</t>
        </is>
      </c>
      <c r="E13" s="30" t="inlineStr">
        <is>
          <t>FW25</t>
        </is>
      </c>
      <c r="F13" s="29" t="inlineStr">
        <is>
          <t>P33</t>
        </is>
      </c>
      <c r="G13" s="29" t="inlineStr">
        <is>
          <t>P53</t>
        </is>
      </c>
      <c r="H13" s="44">
        <f>IFERROR(VLOOKUP(F13,Products!A:G,7,0),"")</f>
        <v/>
      </c>
      <c r="I13" s="37">
        <f>IFERROR(VLOOKUP(G13,Products!A:G,7,0),"")</f>
        <v/>
      </c>
      <c r="J13" s="38">
        <f>IFERROR(IF(AND(H13&lt;&gt;"",I13&lt;&gt;""),H13-I13,""),"")</f>
        <v/>
      </c>
      <c r="K13" s="13">
        <f>IFERROR(IF(AND(H13&lt;&gt;"",I13&lt;&gt;"",I13&lt;&gt;0),(H13-I13)/I13,""),"")</f>
        <v/>
      </c>
      <c r="L13" s="39">
        <f>IFERROR(VLOOKUP(F13,Products!A:M,13,0),"")</f>
        <v/>
      </c>
      <c r="M13" s="40">
        <f>IFERROR(VLOOKUP(G13,Products!A:M,13,0),"")</f>
        <v/>
      </c>
    </row>
    <row r="14">
      <c r="A14" s="17" t="inlineStr">
        <is>
          <t>PA12</t>
        </is>
      </c>
      <c r="B14" s="30" t="inlineStr">
        <is>
          <t>COS</t>
        </is>
      </c>
      <c r="C14" s="30" t="inlineStr">
        <is>
          <t>Contemporary Premium</t>
        </is>
      </c>
      <c r="D14" s="30" t="inlineStr">
        <is>
          <t>Trench</t>
        </is>
      </c>
      <c r="E14" s="30" t="inlineStr">
        <is>
          <t>CW26</t>
        </is>
      </c>
      <c r="F14" s="29" t="inlineStr">
        <is>
          <t>P34</t>
        </is>
      </c>
      <c r="G14" s="29" t="inlineStr">
        <is>
          <t>P54</t>
        </is>
      </c>
      <c r="H14" s="44">
        <f>IFERROR(VLOOKUP(F14,Products!A:G,7,0),"")</f>
        <v/>
      </c>
      <c r="I14" s="37">
        <f>IFERROR(VLOOKUP(G14,Products!A:G,7,0),"")</f>
        <v/>
      </c>
      <c r="J14" s="38">
        <f>IFERROR(IF(AND(H14&lt;&gt;"",I14&lt;&gt;""),H14-I14,""),"")</f>
        <v/>
      </c>
      <c r="K14" s="13">
        <f>IFERROR(IF(AND(H14&lt;&gt;"",I14&lt;&gt;"",I14&lt;&gt;0),(H14-I14)/I14,""),"")</f>
        <v/>
      </c>
      <c r="L14" s="39">
        <f>IFERROR(VLOOKUP(F14,Products!A:M,13,0),"")</f>
        <v/>
      </c>
      <c r="M14" s="40">
        <f>IFERROR(VLOOKUP(G14,Products!A:M,13,0),"")</f>
        <v/>
      </c>
    </row>
    <row r="15">
      <c r="A15" s="17" t="inlineStr">
        <is>
          <t>PA13</t>
        </is>
      </c>
      <c r="B15" s="30" t="inlineStr">
        <is>
          <t>Woolrich</t>
        </is>
      </c>
      <c r="C15" s="30" t="inlineStr">
        <is>
          <t>Contemporary Premium</t>
        </is>
      </c>
      <c r="D15" s="45" t="inlineStr">
        <is>
          <t>Coat</t>
        </is>
      </c>
      <c r="E15" s="30" t="inlineStr">
        <is>
          <t>CW26</t>
        </is>
      </c>
      <c r="F15" s="29" t="inlineStr">
        <is>
          <t>P15</t>
        </is>
      </c>
      <c r="G15" s="29" t="inlineStr">
        <is>
          <t>P16</t>
        </is>
      </c>
      <c r="H15" s="44">
        <f>IFERROR(VLOOKUP(F15,Products!A:G,7,0),"")</f>
        <v/>
      </c>
      <c r="I15" s="37">
        <f>IFERROR(VLOOKUP(G15,Products!A:G,7,0),"")</f>
        <v/>
      </c>
      <c r="J15" s="38">
        <f>IFERROR(IF(AND(H15&lt;&gt;"",I15&lt;&gt;""),H15-I15,""),"")</f>
        <v/>
      </c>
      <c r="K15" s="13">
        <f>IFERROR(IF(AND(H15&lt;&gt;"",I15&lt;&gt;"",I15&lt;&gt;0),(H15-I15)/I15,""),"")</f>
        <v/>
      </c>
      <c r="L15" s="39">
        <f>IFERROR(VLOOKUP(F15,Products!A:M,13,0),"")</f>
        <v/>
      </c>
      <c r="M15" s="40">
        <f>IFERROR(VLOOKUP(G15,Products!A:M,13,0),"")</f>
        <v/>
      </c>
    </row>
    <row r="16">
      <c r="A16" s="17" t="inlineStr">
        <is>
          <t>PA14</t>
        </is>
      </c>
      <c r="B16" s="30" t="inlineStr">
        <is>
          <t>Karen Millen</t>
        </is>
      </c>
      <c r="C16" s="30" t="inlineStr">
        <is>
          <t>Contemporary Premium</t>
        </is>
      </c>
      <c r="D16" s="30" t="inlineStr">
        <is>
          <t>Coat</t>
        </is>
      </c>
      <c r="E16" s="30" t="inlineStr">
        <is>
          <t>CW26</t>
        </is>
      </c>
      <c r="F16" s="29" t="inlineStr">
        <is>
          <t>P17</t>
        </is>
      </c>
      <c r="G16" s="29" t="inlineStr">
        <is>
          <t>P18</t>
        </is>
      </c>
      <c r="H16" s="44">
        <f>IFERROR(VLOOKUP(F16,Products!A:G,7,0),"")</f>
        <v/>
      </c>
      <c r="I16" s="37">
        <f>IFERROR(VLOOKUP(G16,Products!A:G,7,0),"")</f>
        <v/>
      </c>
      <c r="J16" s="38">
        <f>IFERROR(IF(AND(H16&lt;&gt;"",I16&lt;&gt;""),H16-I16,""),"")</f>
        <v/>
      </c>
      <c r="K16" s="13">
        <f>IFERROR(IF(AND(H16&lt;&gt;"",I16&lt;&gt;"",I16&lt;&gt;0),(H16-I16)/I16,""),"")</f>
        <v/>
      </c>
      <c r="L16" s="39">
        <f>IFERROR(VLOOKUP(F16,Products!A:M,13,0),"")</f>
        <v/>
      </c>
      <c r="M16" s="40">
        <f>IFERROR(VLOOKUP(G16,Products!A:M,13,0),"")</f>
        <v/>
      </c>
    </row>
    <row r="17">
      <c r="A17" s="17" t="inlineStr">
        <is>
          <t>PA15</t>
        </is>
      </c>
      <c r="B17" s="30" t="inlineStr">
        <is>
          <t>Aritzia</t>
        </is>
      </c>
      <c r="C17" s="30" t="inlineStr">
        <is>
          <t>Contemporary Premium</t>
        </is>
      </c>
      <c r="D17" s="30" t="inlineStr">
        <is>
          <t>Coat</t>
        </is>
      </c>
      <c r="E17" s="30" t="inlineStr">
        <is>
          <t>CW26</t>
        </is>
      </c>
      <c r="F17" s="29" t="inlineStr">
        <is>
          <t>P29</t>
        </is>
      </c>
      <c r="G17" s="29" t="inlineStr">
        <is>
          <t>P58</t>
        </is>
      </c>
      <c r="H17" s="44">
        <f>IFERROR(VLOOKUP(F17,Products!A:G,7,0),"")</f>
        <v/>
      </c>
      <c r="I17" s="37">
        <f>IFERROR(VLOOKUP(G17,Products!A:G,7,0),"")</f>
        <v/>
      </c>
      <c r="J17" s="38">
        <f>IFERROR(IF(AND(H17&lt;&gt;"",I17&lt;&gt;""),H17-I17,""),"")</f>
        <v/>
      </c>
      <c r="K17" s="13">
        <f>IFERROR(IF(AND(H17&lt;&gt;"",I17&lt;&gt;"",I17&lt;&gt;0),(H17-I17)/I17,""),"")</f>
        <v/>
      </c>
      <c r="L17" s="39">
        <f>IFERROR(VLOOKUP(F17,Products!A:M,13,0),"")</f>
        <v/>
      </c>
      <c r="M17" s="40">
        <f>IFERROR(VLOOKUP(G17,Products!A:M,13,0),"")</f>
        <v/>
      </c>
    </row>
    <row r="18">
      <c r="A18" s="17" t="inlineStr">
        <is>
          <t>PA16</t>
        </is>
      </c>
      <c r="B18" s="30" t="inlineStr">
        <is>
          <t>Fortela</t>
        </is>
      </c>
      <c r="C18" s="30" t="inlineStr">
        <is>
          <t>Contemporary Premium</t>
        </is>
      </c>
      <c r="D18" s="30" t="inlineStr">
        <is>
          <t>Coat</t>
        </is>
      </c>
      <c r="E18" s="30" t="inlineStr">
        <is>
          <t>CW16</t>
        </is>
      </c>
      <c r="F18" s="29" t="inlineStr">
        <is>
          <t>P07</t>
        </is>
      </c>
      <c r="G18" s="29" t="inlineStr">
        <is>
          <t>P59</t>
        </is>
      </c>
      <c r="H18" s="44">
        <f>IFERROR(VLOOKUP(F18,Products!A:G,7,0),"")</f>
        <v/>
      </c>
      <c r="I18" s="37">
        <f>IFERROR(VLOOKUP(G18,Products!A:G,7,0),"")</f>
        <v/>
      </c>
      <c r="J18" s="38">
        <f>IFERROR(IF(AND(H18&lt;&gt;"",I18&lt;&gt;""),H18-I18,""),"")</f>
        <v/>
      </c>
      <c r="K18" s="13">
        <f>IFERROR(IF(AND(H18&lt;&gt;"",I18&lt;&gt;"",I18&lt;&gt;0),(H18-I18)/I18,""),"")</f>
        <v/>
      </c>
      <c r="L18" s="39">
        <f>IFERROR(VLOOKUP(F18,Products!A:M,13,0),"")</f>
        <v/>
      </c>
      <c r="M18" s="40">
        <f>IFERROR(VLOOKUP(G18,Products!A:M,13,0),"")</f>
        <v/>
      </c>
    </row>
    <row r="19">
      <c r="A19" s="17" t="inlineStr">
        <is>
          <t>PA17</t>
        </is>
      </c>
      <c r="B19" s="30" t="inlineStr">
        <is>
          <t>Selected</t>
        </is>
      </c>
      <c r="C19" s="30" t="inlineStr">
        <is>
          <t>Contemporary Premium</t>
        </is>
      </c>
      <c r="D19" s="30" t="inlineStr">
        <is>
          <t>Jacket</t>
        </is>
      </c>
      <c r="E19" s="30" t="inlineStr">
        <is>
          <t>FW25</t>
        </is>
      </c>
      <c r="F19" s="29" t="inlineStr">
        <is>
          <t>P02</t>
        </is>
      </c>
      <c r="G19" s="29" t="inlineStr">
        <is>
          <t>P60</t>
        </is>
      </c>
      <c r="H19" s="44">
        <f>IFERROR(VLOOKUP(F19,Products!A:G,7,0),"")</f>
        <v/>
      </c>
      <c r="I19" s="37">
        <f>IFERROR(VLOOKUP(G19,Products!A:G,7,0),"")</f>
        <v/>
      </c>
      <c r="J19" s="38">
        <f>IFERROR(IF(AND(H19&lt;&gt;"",I19&lt;&gt;""),H19-I19,""),"")</f>
        <v/>
      </c>
      <c r="K19" s="13">
        <f>IFERROR(IF(AND(H19&lt;&gt;"",I19&lt;&gt;"",I19&lt;&gt;0),(H19-I19)/I19,""),"")</f>
        <v/>
      </c>
      <c r="L19" s="39">
        <f>IFERROR(VLOOKUP(F19,Products!A:M,13,0),"")</f>
        <v/>
      </c>
      <c r="M19" s="40">
        <f>IFERROR(VLOOKUP(G19,Products!A:M,13,0),"")</f>
        <v/>
      </c>
    </row>
    <row r="20">
      <c r="A20" s="17" t="inlineStr">
        <is>
          <t>PA18</t>
        </is>
      </c>
      <c r="B20" s="30" t="inlineStr">
        <is>
          <t>Selected</t>
        </is>
      </c>
      <c r="C20" s="30" t="inlineStr">
        <is>
          <t>Contemporary Premium</t>
        </is>
      </c>
      <c r="D20" s="30" t="inlineStr">
        <is>
          <t>Coat</t>
        </is>
      </c>
      <c r="E20" s="30" t="inlineStr">
        <is>
          <t>CW26</t>
        </is>
      </c>
      <c r="F20" s="29" t="inlineStr">
        <is>
          <t>P44</t>
        </is>
      </c>
      <c r="G20" s="29" t="inlineStr">
        <is>
          <t>P61</t>
        </is>
      </c>
      <c r="H20" s="44">
        <f>IFERROR(VLOOKUP(F20,Products!A:G,7,0),"")</f>
        <v/>
      </c>
      <c r="I20" s="37">
        <f>IFERROR(VLOOKUP(G20,Products!A:G,7,0),"")</f>
        <v/>
      </c>
      <c r="J20" s="38">
        <f>IFERROR(IF(AND(H20&lt;&gt;"",I20&lt;&gt;""),H20-I20,""),"")</f>
        <v/>
      </c>
      <c r="K20" s="13">
        <f>IFERROR(IF(AND(H20&lt;&gt;"",I20&lt;&gt;"",I20&lt;&gt;0),(H20-I20)/I20,""),"")</f>
        <v/>
      </c>
      <c r="L20" s="39">
        <f>IFERROR(VLOOKUP(F20,Products!A:M,13,0),"")</f>
        <v/>
      </c>
      <c r="M20" s="40">
        <f>IFERROR(VLOOKUP(G20,Products!A:M,13,0),"")</f>
        <v/>
      </c>
    </row>
    <row r="21">
      <c r="A21" s="17" t="inlineStr">
        <is>
          <t>PA19</t>
        </is>
      </c>
      <c r="B21" s="30" t="inlineStr">
        <is>
          <t>Zara</t>
        </is>
      </c>
      <c r="C21" s="30" t="inlineStr">
        <is>
          <t>Fast Fashion Premium</t>
        </is>
      </c>
      <c r="D21" s="30" t="inlineStr">
        <is>
          <t>Coat</t>
        </is>
      </c>
      <c r="E21" s="30" t="inlineStr">
        <is>
          <t>CW26</t>
        </is>
      </c>
      <c r="F21" s="29" t="inlineStr">
        <is>
          <t>P19</t>
        </is>
      </c>
      <c r="G21" s="29" t="inlineStr">
        <is>
          <t>P57</t>
        </is>
      </c>
      <c r="H21" s="44" t="n">
        <v>269</v>
      </c>
      <c r="I21" s="37">
        <f>IFERROR(VLOOKUP(G21,Products!A:G,7,0),"")</f>
        <v/>
      </c>
      <c r="J21" s="38">
        <f>IFERROR(IF(AND(H21&lt;&gt;"",I21&lt;&gt;""),H21-I21,""),"")</f>
        <v/>
      </c>
      <c r="K21" s="13">
        <f>IFERROR(IF(AND(H21&lt;&gt;"",I21&lt;&gt;"",I21&lt;&gt;0),(H21-I21)/I21,""),"")</f>
        <v/>
      </c>
      <c r="L21" s="43" t="inlineStr">
        <is>
          <t>https://www.zara.com/us/en/manteco-wool-coat-zw-collection-limited-edition-p02100762.html</t>
        </is>
      </c>
      <c r="M21" s="43" t="inlineStr">
        <is>
          <t>https://www.zara.com/it/it/cappotto-corto-misto-lana-con-collo-alto-p02077323.html?v1=498022789&amp;v2=2419020</t>
        </is>
      </c>
    </row>
    <row r="22">
      <c r="A22" s="42" t="inlineStr">
        <is>
          <t>PA20</t>
        </is>
      </c>
      <c r="B22" s="30" t="inlineStr">
        <is>
          <t>Mango</t>
        </is>
      </c>
      <c r="C22" s="30" t="inlineStr">
        <is>
          <t>Fast Fashion Premium</t>
        </is>
      </c>
      <c r="D22" s="30" t="inlineStr">
        <is>
          <t>Coat</t>
        </is>
      </c>
      <c r="E22" s="30" t="inlineStr">
        <is>
          <t>CW26</t>
        </is>
      </c>
      <c r="F22" s="29" t="inlineStr">
        <is>
          <t>P06</t>
        </is>
      </c>
      <c r="G22" s="29" t="inlineStr">
        <is>
          <t>P13</t>
        </is>
      </c>
      <c r="H22" s="44">
        <f>IFERROR(VLOOKUP(F22,Products!A:G,7,0),"")</f>
        <v/>
      </c>
      <c r="I22" s="37">
        <f>IFERROR(VLOOKUP(G22,Products!A:G,7,0),"")</f>
        <v/>
      </c>
      <c r="J22" s="38">
        <f>IFERROR(IF(AND(H22&lt;&gt;"",I22&lt;&gt;""),H22-I22,""),"")</f>
        <v/>
      </c>
      <c r="K22" s="13">
        <f>IFERROR(IF(AND(H22&lt;&gt;"",I22&lt;&gt;"",I22&lt;&gt;0),(H22-I22)/I22,""),"")</f>
        <v/>
      </c>
      <c r="L22" s="39">
        <f>IFERROR(VLOOKUP(F22,Products!A:M,13,0),"")</f>
        <v/>
      </c>
      <c r="M22" s="40">
        <f>IFERROR(VLOOKUP(G22,Products!A:M,13,0),"")</f>
        <v/>
      </c>
      <c r="N22" s="43" t="inlineStr">
        <is>
          <t>https://shop.mango.com/us/en/p/women/coats/coats/double-breasted-wool-coat_27093325</t>
        </is>
      </c>
    </row>
    <row r="23" ht="19.5" customHeight="1" s="90">
      <c r="A23" s="17">
        <f>IF(B23&lt;&gt;"","PA"&amp;TEXT(ROW()-2,"00"),"")</f>
        <v/>
      </c>
      <c r="B23" s="30" t="n"/>
      <c r="C23" s="30" t="n"/>
      <c r="D23" s="30" t="n"/>
      <c r="E23" s="30" t="n"/>
      <c r="F23" s="29" t="n"/>
      <c r="G23" s="29" t="n"/>
      <c r="H23" s="44">
        <f>IFERROR(VLOOKUP(F23,Products!A:G,7,0),"")</f>
        <v/>
      </c>
      <c r="I23" s="37">
        <f>IFERROR(VLOOKUP(G23,Products!A:G,7,0),"")</f>
        <v/>
      </c>
      <c r="J23" s="38">
        <f>IFERROR(IF(AND(H23&lt;&gt;"",I23&lt;&gt;""),H23-I23,""),"")</f>
        <v/>
      </c>
      <c r="K23" s="13">
        <f>IFERROR(IF(AND(H23&lt;&gt;"",I23&lt;&gt;"",I23&lt;&gt;0),(H23-I23)/I23,""),"")</f>
        <v/>
      </c>
    </row>
    <row r="24" ht="19.5" customHeight="1" s="90">
      <c r="A24" s="17">
        <f>IF(B24&lt;&gt;"","PA"&amp;TEXT(ROW()-2,"00"),"")</f>
        <v/>
      </c>
      <c r="B24" s="30" t="n"/>
      <c r="C24" s="30" t="n"/>
      <c r="D24" s="30" t="n"/>
      <c r="E24" s="30" t="n"/>
      <c r="F24" s="29" t="n"/>
      <c r="G24" s="29" t="n"/>
      <c r="H24" s="44">
        <f>IFERROR(VLOOKUP(F24,Products!A:G,7,0),"")</f>
        <v/>
      </c>
      <c r="I24" s="37">
        <f>IFERROR(VLOOKUP(G24,Products!A:G,7,0),"")</f>
        <v/>
      </c>
      <c r="J24" s="38">
        <f>IFERROR(IF(AND(H24&lt;&gt;"",I24&lt;&gt;""),H24-I24,""),"")</f>
        <v/>
      </c>
      <c r="K24" s="13">
        <f>IFERROR(IF(AND(H24&lt;&gt;"",I24&lt;&gt;"",I24&lt;&gt;0),(H24-I24)/I24,""),"")</f>
        <v/>
      </c>
    </row>
    <row r="25" ht="19.5" customHeight="1" s="90">
      <c r="A25" s="17">
        <f>IF(B25&lt;&gt;"","PA"&amp;TEXT(ROW()-2,"00"),"")</f>
        <v/>
      </c>
      <c r="B25" s="30" t="n"/>
      <c r="C25" s="30" t="n"/>
      <c r="D25" s="30" t="n"/>
      <c r="E25" s="30" t="n"/>
      <c r="F25" s="29" t="n"/>
      <c r="G25" s="29" t="n"/>
      <c r="H25" s="44">
        <f>IFERROR(VLOOKUP(F25,Products!A:G,7,0),"")</f>
        <v/>
      </c>
      <c r="I25" s="37">
        <f>IFERROR(VLOOKUP(G25,Products!A:G,7,0),"")</f>
        <v/>
      </c>
      <c r="J25" s="46">
        <f>IFERROR(IF(AND(H25&lt;&gt;"",I25&lt;&gt;""),H25-I25,""),"")</f>
        <v/>
      </c>
      <c r="K25" s="47">
        <f>IFERROR(IF(AND(H25&lt;&gt;"",I25&lt;&gt;"",I25&lt;&gt;0),(H25-I25)/I25,""),"")</f>
        <v/>
      </c>
    </row>
    <row r="26" ht="19.5" customHeight="1" s="90">
      <c r="A26" s="17">
        <f>IF(B26&lt;&gt;"","PA"&amp;TEXT(ROW()-2,"00"),"")</f>
        <v/>
      </c>
      <c r="B26" s="30" t="n"/>
      <c r="C26" s="30" t="n"/>
      <c r="D26" s="30" t="n"/>
      <c r="E26" s="30" t="n"/>
      <c r="F26" s="29" t="n"/>
      <c r="G26" s="29" t="n"/>
      <c r="H26" s="44">
        <f>IFERROR(VLOOKUP(F26,Products!A:G,7,0),"")</f>
        <v/>
      </c>
      <c r="I26" s="37">
        <f>IFERROR(VLOOKUP(G26,Products!A:G,7,0),"")</f>
        <v/>
      </c>
      <c r="J26" s="38">
        <f>IFERROR(IF(AND(H26&lt;&gt;"",I26&lt;&gt;""),H26-I26,""),"")</f>
        <v/>
      </c>
      <c r="K26" s="13">
        <f>IFERROR(IF(AND(H26&lt;&gt;"",I26&lt;&gt;"",I26&lt;&gt;0),(H26-I26)/I26,""),"")</f>
        <v/>
      </c>
    </row>
    <row r="27" ht="19.5" customHeight="1" s="90">
      <c r="A27" s="17">
        <f>IF(B27&lt;&gt;"","PA"&amp;TEXT(ROW()-2,"00"),"")</f>
        <v/>
      </c>
      <c r="B27" s="30" t="n"/>
      <c r="C27" s="30" t="n"/>
      <c r="D27" s="30" t="n"/>
      <c r="E27" s="30" t="n"/>
      <c r="F27" s="29" t="n"/>
      <c r="G27" s="29" t="n"/>
      <c r="H27" s="44">
        <f>IFERROR(VLOOKUP(F27,Products!A:G,7,0),"")</f>
        <v/>
      </c>
      <c r="I27" s="37">
        <f>IFERROR(VLOOKUP(G27,Products!A:G,7,0),"")</f>
        <v/>
      </c>
      <c r="J27" s="38">
        <f>IFERROR(IF(AND(H27&lt;&gt;"",I27&lt;&gt;""),H27-I27,""),"")</f>
        <v/>
      </c>
      <c r="K27" s="13">
        <f>IFERROR(IF(AND(H27&lt;&gt;"",I27&lt;&gt;"",I27&lt;&gt;0),(H27-I27)/I27,""),"")</f>
        <v/>
      </c>
    </row>
    <row r="28" ht="19.5" customHeight="1" s="90">
      <c r="A28" s="17">
        <f>IF(B28&lt;&gt;"","PA"&amp;TEXT(ROW()-2,"00"),"")</f>
        <v/>
      </c>
      <c r="B28" s="30" t="n"/>
      <c r="C28" s="30" t="n"/>
      <c r="D28" s="30" t="n"/>
      <c r="E28" s="30" t="n"/>
      <c r="F28" s="29" t="n"/>
      <c r="G28" s="29" t="n"/>
      <c r="H28" s="44">
        <f>IFERROR(VLOOKUP(F28,Products!A:G,7,0),"")</f>
        <v/>
      </c>
      <c r="I28" s="37">
        <f>IFERROR(VLOOKUP(G28,Products!A:G,7,0),"")</f>
        <v/>
      </c>
      <c r="J28" s="38">
        <f>IFERROR(IF(AND(H28&lt;&gt;"",I28&lt;&gt;""),H28-I28,""),"")</f>
        <v/>
      </c>
      <c r="K28" s="13">
        <f>IFERROR(IF(AND(H28&lt;&gt;"",I28&lt;&gt;"",I28&lt;&gt;0),(H28-I28)/I28,""),"")</f>
        <v/>
      </c>
    </row>
    <row r="29" ht="19.5" customHeight="1" s="90">
      <c r="A29" s="17">
        <f>IF(B29&lt;&gt;"","PA"&amp;TEXT(ROW()-2,"00"),"")</f>
        <v/>
      </c>
      <c r="B29" s="30" t="n"/>
      <c r="C29" s="30" t="n"/>
      <c r="D29" s="30" t="n"/>
      <c r="E29" s="30" t="n"/>
      <c r="F29" s="29" t="n"/>
      <c r="G29" s="29" t="n"/>
      <c r="H29" s="44">
        <f>IFERROR(VLOOKUP(F29,Products!A:G,7,0),"")</f>
        <v/>
      </c>
      <c r="I29" s="37">
        <f>IFERROR(VLOOKUP(G29,Products!A:G,7,0),"")</f>
        <v/>
      </c>
      <c r="J29" s="38">
        <f>IFERROR(IF(AND(H29&lt;&gt;"",I29&lt;&gt;""),H29-I29,""),"")</f>
        <v/>
      </c>
      <c r="K29" s="13">
        <f>IFERROR(IF(AND(H29&lt;&gt;"",I29&lt;&gt;"",I29&lt;&gt;0),(H29-I29)/I29,""),"")</f>
        <v/>
      </c>
    </row>
    <row r="30" ht="19.5" customHeight="1" s="90">
      <c r="A30" s="17">
        <f>IF(B30&lt;&gt;"","PA"&amp;TEXT(ROW()-2,"00"),"")</f>
        <v/>
      </c>
      <c r="B30" s="30" t="n"/>
      <c r="C30" s="30" t="n"/>
      <c r="D30" s="30" t="n"/>
      <c r="E30" s="30" t="n"/>
      <c r="F30" s="29" t="n"/>
      <c r="G30" s="29" t="n"/>
      <c r="H30" s="44">
        <f>IFERROR(VLOOKUP(F30,Products!A:G,7,0),"")</f>
        <v/>
      </c>
      <c r="I30" s="37">
        <f>IFERROR(VLOOKUP(G30,Products!A:G,7,0),"")</f>
        <v/>
      </c>
      <c r="J30" s="38">
        <f>IFERROR(IF(AND(H30&lt;&gt;"",I30&lt;&gt;""),H30-I30,""),"")</f>
        <v/>
      </c>
      <c r="K30" s="13">
        <f>IFERROR(IF(AND(H30&lt;&gt;"",I30&lt;&gt;"",I30&lt;&gt;0),(H30-I30)/I30,""),"")</f>
        <v/>
      </c>
    </row>
    <row r="31" ht="19.5" customHeight="1" s="90">
      <c r="A31" s="17">
        <f>IF(B31&lt;&gt;"","PA"&amp;TEXT(ROW()-2,"00"),"")</f>
        <v/>
      </c>
      <c r="B31" s="30" t="n"/>
      <c r="C31" s="30" t="n"/>
      <c r="D31" s="30" t="n"/>
      <c r="E31" s="30" t="n"/>
      <c r="F31" s="29" t="n"/>
      <c r="G31" s="29" t="n"/>
      <c r="H31" s="44">
        <f>IFERROR(VLOOKUP(F31,Products!A:G,7,0),"")</f>
        <v/>
      </c>
      <c r="I31" s="37">
        <f>IFERROR(VLOOKUP(G31,Products!A:G,7,0),"")</f>
        <v/>
      </c>
      <c r="J31" s="38">
        <f>IFERROR(IF(AND(H31&lt;&gt;"",I31&lt;&gt;""),H31-I31,""),"")</f>
        <v/>
      </c>
      <c r="K31" s="13">
        <f>IFERROR(IF(AND(H31&lt;&gt;"",I31&lt;&gt;"",I31&lt;&gt;0),(H31-I31)/I31,""),"")</f>
        <v/>
      </c>
    </row>
    <row r="32" ht="19.5" customHeight="1" s="90">
      <c r="A32" s="17">
        <f>IF(B32&lt;&gt;"","PA"&amp;TEXT(ROW()-2,"00"),"")</f>
        <v/>
      </c>
      <c r="B32" s="30" t="n"/>
      <c r="C32" s="30" t="n"/>
      <c r="D32" s="30" t="n"/>
      <c r="E32" s="30" t="n"/>
      <c r="F32" s="29" t="n"/>
      <c r="G32" s="29" t="n"/>
      <c r="H32" s="44">
        <f>IFERROR(VLOOKUP(F32,Products!A:G,7,0),"")</f>
        <v/>
      </c>
      <c r="I32" s="37">
        <f>IFERROR(VLOOKUP(G32,Products!A:G,7,0),"")</f>
        <v/>
      </c>
      <c r="J32" s="38">
        <f>IFERROR(IF(AND(H32&lt;&gt;"",I32&lt;&gt;""),H32-I32,""),"")</f>
        <v/>
      </c>
      <c r="K32" s="13">
        <f>IFERROR(IF(AND(H32&lt;&gt;"",I32&lt;&gt;"",I32&lt;&gt;0),(H32-I32)/I32,""),"")</f>
        <v/>
      </c>
    </row>
    <row r="33" ht="19.5" customHeight="1" s="90">
      <c r="A33" s="17">
        <f>IF(B33&lt;&gt;"","PA"&amp;TEXT(ROW()-2,"00"),"")</f>
        <v/>
      </c>
      <c r="B33" s="30" t="n"/>
      <c r="C33" s="30" t="n"/>
      <c r="D33" s="30" t="n"/>
      <c r="E33" s="30" t="n"/>
      <c r="F33" s="29" t="n"/>
      <c r="G33" s="29" t="n"/>
      <c r="H33" s="44">
        <f>IFERROR(VLOOKUP(F33,Products!A:G,7,0),"")</f>
        <v/>
      </c>
      <c r="I33" s="37">
        <f>IFERROR(VLOOKUP(G33,Products!A:G,7,0),"")</f>
        <v/>
      </c>
      <c r="J33" s="38">
        <f>IFERROR(IF(AND(H33&lt;&gt;"",I33&lt;&gt;""),H33-I33,""),"")</f>
        <v/>
      </c>
      <c r="K33" s="13">
        <f>IFERROR(IF(AND(H33&lt;&gt;"",I33&lt;&gt;"",I33&lt;&gt;0),(H33-I33)/I33,""),"")</f>
        <v/>
      </c>
    </row>
    <row r="34" ht="19.5" customHeight="1" s="90">
      <c r="A34" s="17">
        <f>IF(B34&lt;&gt;"","PA"&amp;TEXT(ROW()-2,"00"),"")</f>
        <v/>
      </c>
      <c r="B34" s="30" t="n"/>
      <c r="C34" s="30" t="n"/>
      <c r="D34" s="30" t="n"/>
      <c r="E34" s="30" t="n"/>
      <c r="F34" s="29" t="n"/>
      <c r="G34" s="29" t="n"/>
      <c r="H34" s="44">
        <f>IFERROR(VLOOKUP(F34,Products!A:G,7,0),"")</f>
        <v/>
      </c>
      <c r="I34" s="37">
        <f>IFERROR(VLOOKUP(G34,Products!A:G,7,0),"")</f>
        <v/>
      </c>
      <c r="J34" s="38">
        <f>IFERROR(IF(AND(H34&lt;&gt;"",I34&lt;&gt;""),H34-I34,""),"")</f>
        <v/>
      </c>
      <c r="K34" s="13">
        <f>IFERROR(IF(AND(H34&lt;&gt;"",I34&lt;&gt;"",I34&lt;&gt;0),(H34-I34)/I34,""),"")</f>
        <v/>
      </c>
    </row>
    <row r="35" ht="19.5" customHeight="1" s="90">
      <c r="A35" s="17">
        <f>IF(B35&lt;&gt;"","PA"&amp;TEXT(ROW()-2,"00"),"")</f>
        <v/>
      </c>
      <c r="B35" s="30" t="n"/>
      <c r="C35" s="30" t="n"/>
      <c r="D35" s="30" t="n"/>
      <c r="E35" s="30" t="n"/>
      <c r="F35" s="29" t="n"/>
      <c r="G35" s="29" t="n"/>
      <c r="H35" s="44">
        <f>IFERROR(VLOOKUP(F35,Products!A:G,7,0),"")</f>
        <v/>
      </c>
      <c r="I35" s="37">
        <f>IFERROR(VLOOKUP(G35,Products!A:G,7,0),"")</f>
        <v/>
      </c>
      <c r="J35" s="38">
        <f>IFERROR(IF(AND(H35&lt;&gt;"",I35&lt;&gt;""),H35-I35,""),"")</f>
        <v/>
      </c>
      <c r="K35" s="13">
        <f>IFERROR(IF(AND(H35&lt;&gt;"",I35&lt;&gt;"",I35&lt;&gt;0),(H35-I35)/I35,""),"")</f>
        <v/>
      </c>
    </row>
    <row r="36" ht="19.5" customHeight="1" s="90">
      <c r="A36" s="17">
        <f>IF(B36&lt;&gt;"","PA"&amp;TEXT(ROW()-2,"00"),"")</f>
        <v/>
      </c>
      <c r="B36" s="30" t="n"/>
      <c r="C36" s="30" t="n"/>
      <c r="D36" s="30" t="n"/>
      <c r="E36" s="30" t="n"/>
      <c r="F36" s="29" t="n"/>
      <c r="G36" s="29" t="n"/>
      <c r="H36" s="44">
        <f>IFERROR(VLOOKUP(F36,Products!A:G,7,0),"")</f>
        <v/>
      </c>
      <c r="I36" s="37">
        <f>IFERROR(VLOOKUP(G36,Products!A:G,7,0),"")</f>
        <v/>
      </c>
      <c r="J36" s="38">
        <f>IFERROR(IF(AND(H36&lt;&gt;"",I36&lt;&gt;""),H36-I36,""),"")</f>
        <v/>
      </c>
      <c r="K36" s="13">
        <f>IFERROR(IF(AND(H36&lt;&gt;"",I36&lt;&gt;"",I36&lt;&gt;0),(H36-I36)/I36,""),"")</f>
        <v/>
      </c>
    </row>
    <row r="37" ht="19.5" customHeight="1" s="90">
      <c r="A37" s="17">
        <f>IF(B37&lt;&gt;"","PA"&amp;TEXT(ROW()-2,"00"),"")</f>
        <v/>
      </c>
      <c r="B37" s="30" t="n"/>
      <c r="C37" s="30" t="n"/>
      <c r="D37" s="30" t="n"/>
      <c r="E37" s="30" t="n"/>
      <c r="F37" s="29" t="n"/>
      <c r="G37" s="29" t="n"/>
      <c r="H37" s="44">
        <f>IFERROR(VLOOKUP(F37,Products!A:G,7,0),"")</f>
        <v/>
      </c>
      <c r="I37" s="37">
        <f>IFERROR(VLOOKUP(G37,Products!A:G,7,0),"")</f>
        <v/>
      </c>
      <c r="J37" s="38">
        <f>IFERROR(IF(AND(H37&lt;&gt;"",I37&lt;&gt;""),H37-I37,""),"")</f>
        <v/>
      </c>
      <c r="K37" s="13">
        <f>IFERROR(IF(AND(H37&lt;&gt;"",I37&lt;&gt;"",I37&lt;&gt;0),(H37-I37)/I37,""),"")</f>
        <v/>
      </c>
    </row>
    <row r="38" ht="19.5" customHeight="1" s="90">
      <c r="A38" s="17">
        <f>IF(B38&lt;&gt;"","PA"&amp;TEXT(ROW()-2,"00"),"")</f>
        <v/>
      </c>
      <c r="B38" s="30" t="n"/>
      <c r="C38" s="30" t="n"/>
      <c r="D38" s="30" t="n"/>
      <c r="E38" s="30" t="n"/>
      <c r="F38" s="29" t="n"/>
      <c r="G38" s="29" t="n"/>
      <c r="H38" s="44">
        <f>IFERROR(VLOOKUP(F38,Products!A:G,7,0),"")</f>
        <v/>
      </c>
      <c r="I38" s="37">
        <f>IFERROR(VLOOKUP(G38,Products!A:G,7,0),"")</f>
        <v/>
      </c>
      <c r="J38" s="38">
        <f>IFERROR(IF(AND(H38&lt;&gt;"",I38&lt;&gt;""),H38-I38,""),"")</f>
        <v/>
      </c>
      <c r="K38" s="13">
        <f>IFERROR(IF(AND(H38&lt;&gt;"",I38&lt;&gt;"",I38&lt;&gt;0),(H38-I38)/I38,""),"")</f>
        <v/>
      </c>
    </row>
    <row r="39" ht="19.5" customHeight="1" s="90">
      <c r="A39" s="17">
        <f>IF(B39&lt;&gt;"","PA"&amp;TEXT(ROW()-2,"00"),"")</f>
        <v/>
      </c>
      <c r="B39" s="30" t="n"/>
      <c r="C39" s="30" t="n"/>
      <c r="D39" s="30" t="n"/>
      <c r="E39" s="30" t="n"/>
      <c r="F39" s="29" t="n"/>
      <c r="G39" s="29" t="n"/>
      <c r="H39" s="44">
        <f>IFERROR(VLOOKUP(F39,Products!A:G,7,0),"")</f>
        <v/>
      </c>
      <c r="I39" s="37">
        <f>IFERROR(VLOOKUP(G39,Products!A:G,7,0),"")</f>
        <v/>
      </c>
      <c r="J39" s="38">
        <f>IFERROR(IF(AND(H39&lt;&gt;"",I39&lt;&gt;""),H39-I39,""),"")</f>
        <v/>
      </c>
      <c r="K39" s="13">
        <f>IFERROR(IF(AND(H39&lt;&gt;"",I39&lt;&gt;"",I39&lt;&gt;0),(H39-I39)/I39,""),"")</f>
        <v/>
      </c>
    </row>
    <row r="40" ht="19.5" customHeight="1" s="90">
      <c r="A40" s="17">
        <f>IF(B40&lt;&gt;"","PA"&amp;TEXT(ROW()-2,"00"),"")</f>
        <v/>
      </c>
      <c r="B40" s="30" t="n"/>
      <c r="C40" s="30" t="n"/>
      <c r="D40" s="30" t="n"/>
      <c r="E40" s="30" t="n"/>
      <c r="F40" s="29" t="n"/>
      <c r="G40" s="29" t="n"/>
      <c r="H40" s="44">
        <f>IFERROR(VLOOKUP(F40,Products!A:G,7,0),"")</f>
        <v/>
      </c>
      <c r="I40" s="37">
        <f>IFERROR(VLOOKUP(G40,Products!A:G,7,0),"")</f>
        <v/>
      </c>
      <c r="J40" s="38">
        <f>IFERROR(IF(AND(H40&lt;&gt;"",I40&lt;&gt;""),H40-I40,""),"")</f>
        <v/>
      </c>
      <c r="K40" s="13">
        <f>IFERROR(IF(AND(H40&lt;&gt;"",I40&lt;&gt;"",I40&lt;&gt;0),(H40-I40)/I40,""),"")</f>
        <v/>
      </c>
    </row>
    <row r="41" ht="19.5" customHeight="1" s="90">
      <c r="A41" s="17">
        <f>IF(B41&lt;&gt;"","PA"&amp;TEXT(ROW()-2,"00"),"")</f>
        <v/>
      </c>
      <c r="B41" s="30" t="n"/>
      <c r="C41" s="30" t="n"/>
      <c r="D41" s="30" t="n"/>
      <c r="E41" s="30" t="n"/>
      <c r="F41" s="29" t="n"/>
      <c r="G41" s="29" t="n"/>
      <c r="H41" s="44">
        <f>IFERROR(VLOOKUP(F41,Products!A:G,7,0),"")</f>
        <v/>
      </c>
      <c r="I41" s="37">
        <f>IFERROR(VLOOKUP(G41,Products!A:G,7,0),"")</f>
        <v/>
      </c>
      <c r="J41" s="38">
        <f>IFERROR(IF(AND(H41&lt;&gt;"",I41&lt;&gt;""),H41-I41,""),"")</f>
        <v/>
      </c>
      <c r="K41" s="13">
        <f>IFERROR(IF(AND(H41&lt;&gt;"",I41&lt;&gt;"",I41&lt;&gt;0),(H41-I41)/I41,""),"")</f>
        <v/>
      </c>
    </row>
    <row r="42" ht="19.5" customHeight="1" s="90">
      <c r="A42" s="17">
        <f>IF(B42&lt;&gt;"","PA"&amp;TEXT(ROW()-2,"00"),"")</f>
        <v/>
      </c>
      <c r="B42" s="30" t="n"/>
      <c r="C42" s="30" t="n"/>
      <c r="D42" s="30" t="n"/>
      <c r="E42" s="30" t="n"/>
      <c r="F42" s="29" t="n"/>
      <c r="G42" s="29" t="n"/>
      <c r="H42" s="44">
        <f>IFERROR(VLOOKUP(F42,Products!A:G,7,0),"")</f>
        <v/>
      </c>
      <c r="I42" s="37">
        <f>IFERROR(VLOOKUP(G42,Products!A:G,7,0),"")</f>
        <v/>
      </c>
      <c r="J42" s="38">
        <f>IFERROR(IF(AND(H42&lt;&gt;"",I42&lt;&gt;""),H42-I42,""),"")</f>
        <v/>
      </c>
      <c r="K42" s="13">
        <f>IFERROR(IF(AND(H42&lt;&gt;"",I42&lt;&gt;"",I42&lt;&gt;0),(H42-I42)/I42,""),"")</f>
        <v/>
      </c>
    </row>
    <row r="43" ht="19.5" customHeight="1" s="90">
      <c r="A43" s="17">
        <f>IF(B43&lt;&gt;"","PA"&amp;TEXT(ROW()-2,"00"),"")</f>
        <v/>
      </c>
      <c r="B43" s="30" t="n"/>
      <c r="C43" s="30" t="n"/>
      <c r="D43" s="30" t="n"/>
      <c r="E43" s="30" t="n"/>
      <c r="F43" s="29" t="n"/>
      <c r="G43" s="29" t="n"/>
      <c r="H43" s="44">
        <f>IFERROR(VLOOKUP(F43,Products!A:G,7,0),"")</f>
        <v/>
      </c>
      <c r="I43" s="37">
        <f>IFERROR(VLOOKUP(G43,Products!A:G,7,0),"")</f>
        <v/>
      </c>
      <c r="J43" s="38">
        <f>IFERROR(IF(AND(H43&lt;&gt;"",I43&lt;&gt;""),H43-I43,""),"")</f>
        <v/>
      </c>
      <c r="K43" s="13">
        <f>IFERROR(IF(AND(H43&lt;&gt;"",I43&lt;&gt;"",I43&lt;&gt;0),(H43-I43)/I43,""),"")</f>
        <v/>
      </c>
    </row>
    <row r="44" ht="19.5" customHeight="1" s="90">
      <c r="A44" s="17">
        <f>IF(B44&lt;&gt;"","PA"&amp;TEXT(ROW()-2,"00"),"")</f>
        <v/>
      </c>
      <c r="B44" s="30" t="n"/>
      <c r="C44" s="30" t="n"/>
      <c r="D44" s="30" t="n"/>
      <c r="E44" s="30" t="n"/>
      <c r="F44" s="29" t="n"/>
      <c r="G44" s="29" t="n"/>
      <c r="H44" s="44">
        <f>IFERROR(VLOOKUP(F44,Products!A:G,7,0),"")</f>
        <v/>
      </c>
      <c r="I44" s="37">
        <f>IFERROR(VLOOKUP(G44,Products!A:G,7,0),"")</f>
        <v/>
      </c>
      <c r="J44" s="38">
        <f>IFERROR(IF(AND(H44&lt;&gt;"",I44&lt;&gt;""),H44-I44,""),"")</f>
        <v/>
      </c>
      <c r="K44" s="13">
        <f>IFERROR(IF(AND(H44&lt;&gt;"",I44&lt;&gt;"",I44&lt;&gt;0),(H44-I44)/I44,""),"")</f>
        <v/>
      </c>
    </row>
    <row r="45" ht="19.5" customHeight="1" s="90">
      <c r="A45" s="17">
        <f>IF(B45&lt;&gt;"","PA"&amp;TEXT(ROW()-2,"00"),"")</f>
        <v/>
      </c>
      <c r="B45" s="30" t="n"/>
      <c r="C45" s="30" t="n"/>
      <c r="D45" s="30" t="n"/>
      <c r="E45" s="30" t="n"/>
      <c r="F45" s="29" t="n"/>
      <c r="G45" s="29" t="n"/>
      <c r="H45" s="44">
        <f>IFERROR(VLOOKUP(F45,Products!A:G,7,0),"")</f>
        <v/>
      </c>
      <c r="I45" s="37">
        <f>IFERROR(VLOOKUP(G45,Products!A:G,7,0),"")</f>
        <v/>
      </c>
      <c r="J45" s="38">
        <f>IFERROR(IF(AND(H45&lt;&gt;"",I45&lt;&gt;""),H45-I45,""),"")</f>
        <v/>
      </c>
      <c r="K45" s="13">
        <f>IFERROR(IF(AND(H45&lt;&gt;"",I45&lt;&gt;"",I45&lt;&gt;0),(H45-I45)/I45,""),"")</f>
        <v/>
      </c>
    </row>
    <row r="46" ht="19.5" customHeight="1" s="90">
      <c r="A46" s="17">
        <f>IF(B46&lt;&gt;"","PA"&amp;TEXT(ROW()-2,"00"),"")</f>
        <v/>
      </c>
      <c r="B46" s="30" t="n"/>
      <c r="C46" s="30" t="n"/>
      <c r="D46" s="30" t="n"/>
      <c r="E46" s="30" t="n"/>
      <c r="F46" s="29" t="n"/>
      <c r="G46" s="29" t="n"/>
      <c r="H46" s="44">
        <f>IFERROR(VLOOKUP(F46,Products!A:G,7,0),"")</f>
        <v/>
      </c>
      <c r="I46" s="37">
        <f>IFERROR(VLOOKUP(G46,Products!A:G,7,0),"")</f>
        <v/>
      </c>
      <c r="J46" s="38">
        <f>IFERROR(IF(AND(H46&lt;&gt;"",I46&lt;&gt;""),H46-I46,""),"")</f>
        <v/>
      </c>
      <c r="K46" s="13">
        <f>IFERROR(IF(AND(H46&lt;&gt;"",I46&lt;&gt;"",I46&lt;&gt;0),(H46-I46)/I46,""),"")</f>
        <v/>
      </c>
    </row>
    <row r="47" ht="19.5" customHeight="1" s="90">
      <c r="A47" s="17">
        <f>IF(B47&lt;&gt;"","PA"&amp;TEXT(ROW()-2,"00"),"")</f>
        <v/>
      </c>
      <c r="B47" s="30" t="n"/>
      <c r="C47" s="30" t="n"/>
      <c r="D47" s="30" t="n"/>
      <c r="E47" s="30" t="n"/>
      <c r="F47" s="29" t="n"/>
      <c r="G47" s="29" t="n"/>
      <c r="H47" s="44">
        <f>IFERROR(VLOOKUP(F47,Products!A:G,7,0),"")</f>
        <v/>
      </c>
      <c r="I47" s="37">
        <f>IFERROR(VLOOKUP(G47,Products!A:G,7,0),"")</f>
        <v/>
      </c>
      <c r="J47" s="38">
        <f>IFERROR(IF(AND(H47&lt;&gt;"",I47&lt;&gt;""),H47-I47,""),"")</f>
        <v/>
      </c>
      <c r="K47" s="13">
        <f>IFERROR(IF(AND(H47&lt;&gt;"",I47&lt;&gt;"",I47&lt;&gt;0),(H47-I47)/I47,""),"")</f>
        <v/>
      </c>
    </row>
    <row r="48" ht="19.5" customHeight="1" s="90">
      <c r="A48" s="17">
        <f>IF(B48&lt;&gt;"","PA"&amp;TEXT(ROW()-2,"00"),"")</f>
        <v/>
      </c>
      <c r="B48" s="30" t="n"/>
      <c r="C48" s="30" t="n"/>
      <c r="D48" s="30" t="n"/>
      <c r="E48" s="30" t="n"/>
      <c r="F48" s="29" t="n"/>
      <c r="G48" s="29" t="n"/>
      <c r="H48" s="44">
        <f>IFERROR(VLOOKUP(F48,Products!A:G,7,0),"")</f>
        <v/>
      </c>
      <c r="I48" s="37">
        <f>IFERROR(VLOOKUP(G48,Products!A:G,7,0),"")</f>
        <v/>
      </c>
      <c r="J48" s="38">
        <f>IFERROR(IF(AND(H48&lt;&gt;"",I48&lt;&gt;""),H48-I48,""),"")</f>
        <v/>
      </c>
      <c r="K48" s="13">
        <f>IFERROR(IF(AND(H48&lt;&gt;"",I48&lt;&gt;"",I48&lt;&gt;0),(H48-I48)/I48,""),"")</f>
        <v/>
      </c>
    </row>
    <row r="49" ht="19.5" customHeight="1" s="90">
      <c r="A49" s="17">
        <f>IF(B49&lt;&gt;"","PA"&amp;TEXT(ROW()-2,"00"),"")</f>
        <v/>
      </c>
      <c r="B49" s="30" t="n"/>
      <c r="C49" s="30" t="n"/>
      <c r="D49" s="30" t="n"/>
      <c r="E49" s="30" t="n"/>
      <c r="F49" s="29" t="n"/>
      <c r="G49" s="29" t="n"/>
      <c r="H49" s="44">
        <f>IFERROR(VLOOKUP(F49,Products!A:G,7,0),"")</f>
        <v/>
      </c>
      <c r="I49" s="37">
        <f>IFERROR(VLOOKUP(G49,Products!A:G,7,0),"")</f>
        <v/>
      </c>
      <c r="J49" s="38">
        <f>IFERROR(IF(AND(H49&lt;&gt;"",I49&lt;&gt;""),H49-I49,""),"")</f>
        <v/>
      </c>
      <c r="K49" s="13">
        <f>IFERROR(IF(AND(H49&lt;&gt;"",I49&lt;&gt;"",I49&lt;&gt;0),(H49-I49)/I49,""),"")</f>
        <v/>
      </c>
    </row>
    <row r="50" ht="19.5" customHeight="1" s="90">
      <c r="A50" s="17">
        <f>IF(B50&lt;&gt;"","PA"&amp;TEXT(ROW()-2,"00"),"")</f>
        <v/>
      </c>
      <c r="B50" s="30" t="n"/>
      <c r="C50" s="30" t="n"/>
      <c r="D50" s="30" t="n"/>
      <c r="E50" s="30" t="n"/>
      <c r="F50" s="29" t="n"/>
      <c r="G50" s="29" t="n"/>
      <c r="H50" s="44">
        <f>IFERROR(VLOOKUP(F50,Products!A:G,7,0),"")</f>
        <v/>
      </c>
      <c r="I50" s="37">
        <f>IFERROR(VLOOKUP(G50,Products!A:G,7,0),"")</f>
        <v/>
      </c>
      <c r="J50" s="38">
        <f>IFERROR(IF(AND(H50&lt;&gt;"",I50&lt;&gt;""),H50-I50,""),"")</f>
        <v/>
      </c>
      <c r="K50" s="13">
        <f>IFERROR(IF(AND(H50&lt;&gt;"",I50&lt;&gt;"",I50&lt;&gt;0),(H50-I50)/I50,""),"")</f>
        <v/>
      </c>
    </row>
    <row r="51" ht="19.5" customHeight="1" s="90">
      <c r="A51" s="17">
        <f>IF(B51&lt;&gt;"","PA"&amp;TEXT(ROW()-2,"00"),"")</f>
        <v/>
      </c>
      <c r="B51" s="30" t="n"/>
      <c r="C51" s="30" t="n"/>
      <c r="D51" s="30" t="n"/>
      <c r="E51" s="30" t="n"/>
      <c r="F51" s="29" t="n"/>
      <c r="G51" s="29" t="n"/>
      <c r="H51" s="44">
        <f>IFERROR(VLOOKUP(F51,Products!A:G,7,0),"")</f>
        <v/>
      </c>
      <c r="I51" s="37">
        <f>IFERROR(VLOOKUP(G51,Products!A:G,7,0),"")</f>
        <v/>
      </c>
      <c r="J51" s="38">
        <f>IFERROR(IF(AND(H51&lt;&gt;"",I51&lt;&gt;""),H51-I51,""),"")</f>
        <v/>
      </c>
      <c r="K51" s="13">
        <f>IFERROR(IF(AND(H51&lt;&gt;"",I51&lt;&gt;"",I51&lt;&gt;0),(H51-I51)/I51,""),"")</f>
        <v/>
      </c>
    </row>
    <row r="52" ht="19.5" customHeight="1" s="90">
      <c r="A52" s="17">
        <f>IF(B52&lt;&gt;"","PA"&amp;TEXT(ROW()-2,"00"),"")</f>
        <v/>
      </c>
      <c r="B52" s="30" t="n"/>
      <c r="C52" s="30" t="n"/>
      <c r="D52" s="30" t="n"/>
      <c r="E52" s="30" t="n"/>
      <c r="F52" s="29" t="n"/>
      <c r="G52" s="29" t="n"/>
      <c r="H52" s="44">
        <f>IFERROR(VLOOKUP(F52,Products!A:G,7,0),"")</f>
        <v/>
      </c>
      <c r="I52" s="37">
        <f>IFERROR(VLOOKUP(G52,Products!A:G,7,0),"")</f>
        <v/>
      </c>
      <c r="J52" s="38">
        <f>IFERROR(IF(AND(H52&lt;&gt;"",I52&lt;&gt;""),H52-I52,""),"")</f>
        <v/>
      </c>
      <c r="K52" s="13">
        <f>IFERROR(IF(AND(H52&lt;&gt;"",I52&lt;&gt;"",I52&lt;&gt;0),(H52-I52)/I52,""),"")</f>
        <v/>
      </c>
    </row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2">
    <mergeCell ref="A1:K1"/>
    <mergeCell ref="L1:V1"/>
  </mergeCells>
  <conditionalFormatting sqref="K3:K52">
    <cfRule type="cellIs" priority="1" operator="greaterThanOrEqual" dxfId="4">
      <formula>0.1</formula>
    </cfRule>
    <cfRule type="cellIs" priority="2" operator="lessThan" dxfId="5">
      <formula>0</formula>
    </cfRule>
  </conditionalFormatting>
  <dataValidations count="1">
    <dataValidation sqref="C3:C52" showDropDown="0" showInputMessage="0" showErrorMessage="0" allowBlank="1" type="list">
      <formula1>"Premium,Contemporary Premium,Contemporary,Fast Fashion Premium"</formula1>
    </dataValidation>
  </dataValidations>
  <hyperlinks>
    <hyperlink xmlns:r="http://schemas.openxmlformats.org/officeDocument/2006/relationships" ref="L5" r:id="rId1"/>
    <hyperlink xmlns:r="http://schemas.openxmlformats.org/officeDocument/2006/relationships" ref="N7" r:id="rId2"/>
    <hyperlink xmlns:r="http://schemas.openxmlformats.org/officeDocument/2006/relationships" ref="N9" r:id="rId3"/>
    <hyperlink xmlns:r="http://schemas.openxmlformats.org/officeDocument/2006/relationships" ref="L21" r:id="rId4"/>
    <hyperlink xmlns:r="http://schemas.openxmlformats.org/officeDocument/2006/relationships" ref="M21" r:id="rId5"/>
    <hyperlink xmlns:r="http://schemas.openxmlformats.org/officeDocument/2006/relationships" ref="N22" r:id="rId6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8A5C00"/>
    <outlinePr summaryBelow="1" summaryRight="1"/>
    <pageSetUpPr/>
  </sheetPr>
  <dimension ref="A1:K5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9" customWidth="1" style="90" min="1" max="1"/>
    <col width="18" customWidth="1" style="90" min="2" max="2"/>
    <col width="14" customWidth="1" style="90" min="3" max="4"/>
    <col width="11" customWidth="1" style="90" min="5" max="5"/>
    <col width="14" customWidth="1" style="90" min="6" max="7"/>
    <col width="11" customWidth="1" style="90" min="8" max="9"/>
    <col width="38" customWidth="1" style="90" min="10" max="11"/>
    <col width="8.710000000000001" customWidth="1" style="90" min="12" max="26"/>
  </cols>
  <sheetData>
    <row r="1" ht="31.5" customHeight="1" s="90">
      <c r="A1" s="91" t="inlineStr">
        <is>
          <t>MANTECO PRICE RESILIENCE — Stage 3: Markdown Analysis</t>
        </is>
      </c>
    </row>
    <row r="2" ht="36" customHeight="1" s="90">
      <c r="A2" s="4" t="inlineStr">
        <is>
          <t>Pair ID</t>
        </is>
      </c>
      <c r="B2" s="4" t="inlineStr">
        <is>
          <t>Brand</t>
        </is>
      </c>
      <c r="C2" s="32" t="inlineStr">
        <is>
          <t>M: Retail ($)</t>
        </is>
      </c>
      <c r="D2" s="32" t="inlineStr">
        <is>
          <t>M: Sale ($)</t>
        </is>
      </c>
      <c r="E2" s="32" t="inlineStr">
        <is>
          <t>M: MD%</t>
        </is>
      </c>
      <c r="F2" s="33" t="inlineStr">
        <is>
          <t>C: Retail ($)</t>
        </is>
      </c>
      <c r="G2" s="33" t="inlineStr">
        <is>
          <t>C: Sale ($)</t>
        </is>
      </c>
      <c r="H2" s="33" t="inlineStr">
        <is>
          <t>C: MD%</t>
        </is>
      </c>
      <c r="I2" s="4" t="inlineStr">
        <is>
          <t>Delta (pp)</t>
        </is>
      </c>
      <c r="J2" s="4" t="inlineStr">
        <is>
          <t>M: Sale URL</t>
        </is>
      </c>
      <c r="K2" s="4" t="inlineStr">
        <is>
          <t>C: Sale URL</t>
        </is>
      </c>
    </row>
    <row r="3" ht="19.5" customHeight="1" s="90">
      <c r="A3" s="17">
        <f t="array" ref="A3">IFERROR(INDEX('Matched Pairs'!A:A,ROW()-1),"")</f>
        <v/>
      </c>
      <c r="B3" s="17">
        <f t="array" ref="B3">IFERROR(INDEX('Matched Pairs'!B:B,ROW()-1),"")</f>
        <v/>
      </c>
      <c r="C3" s="44">
        <f t="array" ref="C3">IFERROR(INDEX('Matched Pairs'!H:H,ROW()-1),"")</f>
        <v/>
      </c>
      <c r="D3" s="52" t="n"/>
      <c r="E3" s="49">
        <f>IFERROR(IF(AND(C3&lt;&gt;"",D3&lt;&gt;""),(C3-D3)/C3,""),"")</f>
        <v/>
      </c>
      <c r="F3" s="37">
        <f t="array" ref="F3">IFERROR(INDEX('Matched Pairs'!I:I,ROW()-1),"")</f>
        <v/>
      </c>
      <c r="G3" s="53" t="n"/>
      <c r="H3" s="51">
        <f>IFERROR(IF(AND(F3&lt;&gt;"",G3&lt;&gt;""),(F3-G3)/F3,""),"")</f>
        <v/>
      </c>
      <c r="I3" s="13">
        <f>IFERROR(IF(AND(E3&lt;&gt;"",H3&lt;&gt;""),H3-E3,""),"")</f>
        <v/>
      </c>
      <c r="J3" s="31" t="n"/>
      <c r="K3" s="31" t="n"/>
    </row>
    <row r="4" ht="19.5" customHeight="1" s="90">
      <c r="A4" s="17">
        <f t="array" ref="A4">IFERROR(INDEX('Matched Pairs'!A:A,ROW()-1),"")</f>
        <v/>
      </c>
      <c r="B4" s="17">
        <f t="array" ref="B4">IFERROR(INDEX('Matched Pairs'!B:B,ROW()-1),"")</f>
        <v/>
      </c>
      <c r="C4" s="44">
        <f t="array" ref="C4">IFERROR(INDEX('Matched Pairs'!H:H,ROW()-1),"")</f>
        <v/>
      </c>
      <c r="D4" s="52" t="n"/>
      <c r="E4" s="49">
        <f>IFERROR(IF(AND(C4&lt;&gt;"",D4&lt;&gt;""),(C4-D4)/C4,""),"")</f>
        <v/>
      </c>
      <c r="F4" s="37">
        <f t="array" ref="F4">IFERROR(INDEX('Matched Pairs'!I:I,ROW()-1),"")</f>
        <v/>
      </c>
      <c r="G4" s="53" t="n"/>
      <c r="H4" s="51">
        <f>IFERROR(IF(AND(F4&lt;&gt;"",G4&lt;&gt;""),(F4-G4)/F4,""),"")</f>
        <v/>
      </c>
      <c r="I4" s="13">
        <f>IFERROR(IF(AND(E4&lt;&gt;"",H4&lt;&gt;""),H4-E4,""),"")</f>
        <v/>
      </c>
      <c r="J4" s="31" t="n"/>
      <c r="K4" s="31" t="n"/>
    </row>
    <row r="5" ht="19.5" customHeight="1" s="90">
      <c r="A5" s="17">
        <f t="array" ref="A5">IFERROR(INDEX('Matched Pairs'!A:A,ROW()-1),"")</f>
        <v/>
      </c>
      <c r="B5" s="17">
        <f t="array" ref="B5">IFERROR(INDEX('Matched Pairs'!B:B,ROW()-1),"")</f>
        <v/>
      </c>
      <c r="C5" s="44">
        <f t="array" ref="C5">IFERROR(INDEX('Matched Pairs'!H:H,ROW()-1),"")</f>
        <v/>
      </c>
      <c r="D5" s="52" t="n"/>
      <c r="E5" s="49">
        <f>IFERROR(IF(AND(C5&lt;&gt;"",D5&lt;&gt;""),(C5-D5)/C5,""),"")</f>
        <v/>
      </c>
      <c r="F5" s="37">
        <f t="array" ref="F5">IFERROR(INDEX('Matched Pairs'!I:I,ROW()-1),"")</f>
        <v/>
      </c>
      <c r="G5" s="53" t="n"/>
      <c r="H5" s="51">
        <f>IFERROR(IF(AND(F5&lt;&gt;"",G5&lt;&gt;""),(F5-G5)/F5,""),"")</f>
        <v/>
      </c>
      <c r="I5" s="13">
        <f>IFERROR(IF(AND(E5&lt;&gt;"",H5&lt;&gt;""),H5-E5,""),"")</f>
        <v/>
      </c>
      <c r="J5" s="31" t="n"/>
      <c r="K5" s="31" t="n"/>
    </row>
    <row r="6" ht="19.5" customHeight="1" s="90">
      <c r="A6" s="17">
        <f t="array" ref="A6">IFERROR(INDEX('Matched Pairs'!A:A,ROW()-1),"")</f>
        <v/>
      </c>
      <c r="B6" s="17">
        <f t="array" ref="B6">IFERROR(INDEX('Matched Pairs'!B:B,ROW()-1),"")</f>
        <v/>
      </c>
      <c r="C6" s="44">
        <f t="array" ref="C6">IFERROR(INDEX('Matched Pairs'!H:H,ROW()-1),"")</f>
        <v/>
      </c>
      <c r="D6" s="52" t="n"/>
      <c r="E6" s="49">
        <f>IFERROR(IF(AND(C6&lt;&gt;"",D6&lt;&gt;""),(C6-D6)/C6,""),"")</f>
        <v/>
      </c>
      <c r="F6" s="37">
        <f t="array" ref="F6">IFERROR(INDEX('Matched Pairs'!I:I,ROW()-1),"")</f>
        <v/>
      </c>
      <c r="G6" s="53" t="n"/>
      <c r="H6" s="51">
        <f>IFERROR(IF(AND(F6&lt;&gt;"",G6&lt;&gt;""),(F6-G6)/F6,""),"")</f>
        <v/>
      </c>
      <c r="I6" s="13">
        <f>IFERROR(IF(AND(E6&lt;&gt;"",H6&lt;&gt;""),H6-E6,""),"")</f>
        <v/>
      </c>
      <c r="J6" s="31" t="n"/>
      <c r="K6" s="31" t="n"/>
    </row>
    <row r="7" ht="19.5" customHeight="1" s="90">
      <c r="A7" s="17">
        <f t="array" ref="A7">IFERROR(INDEX('Matched Pairs'!A:A,ROW()-1),"")</f>
        <v/>
      </c>
      <c r="B7" s="17">
        <f t="array" ref="B7">IFERROR(INDEX('Matched Pairs'!B:B,ROW()-1),"")</f>
        <v/>
      </c>
      <c r="C7" s="44">
        <f t="array" ref="C7">IFERROR(INDEX('Matched Pairs'!H:H,ROW()-1),"")</f>
        <v/>
      </c>
      <c r="D7" s="52" t="n"/>
      <c r="E7" s="49">
        <f>IFERROR(IF(AND(C7&lt;&gt;"",D7&lt;&gt;""),(C7-D7)/C7,""),"")</f>
        <v/>
      </c>
      <c r="F7" s="37">
        <f t="array" ref="F7">IFERROR(INDEX('Matched Pairs'!I:I,ROW()-1),"")</f>
        <v/>
      </c>
      <c r="G7" s="53" t="n"/>
      <c r="H7" s="51">
        <f>IFERROR(IF(AND(F7&lt;&gt;"",G7&lt;&gt;""),(F7-G7)/F7,""),"")</f>
        <v/>
      </c>
      <c r="I7" s="13">
        <f>IFERROR(IF(AND(E7&lt;&gt;"",H7&lt;&gt;""),H7-E7,""),"")</f>
        <v/>
      </c>
      <c r="J7" s="31" t="n"/>
      <c r="K7" s="31" t="n"/>
    </row>
    <row r="8">
      <c r="A8" s="17">
        <f t="array" ref="A8">IFERROR(INDEX('Matched Pairs'!A:A,ROW()-1),"")</f>
        <v/>
      </c>
      <c r="B8" s="17">
        <f t="array" ref="B8">IFERROR(INDEX('Matched Pairs'!B:B,ROW()-1),"")</f>
        <v/>
      </c>
      <c r="C8" s="44">
        <f t="array" ref="C8">IFERROR(INDEX('Matched Pairs'!H:H,ROW()-1),"")</f>
        <v/>
      </c>
      <c r="D8" s="52" t="n">
        <v>179.99</v>
      </c>
      <c r="E8" s="49">
        <f>IFERROR(IF(AND(C8&lt;&gt;"",D8&lt;&gt;""),(C8-D8)/C8,""),"")</f>
        <v/>
      </c>
      <c r="F8" s="37">
        <f t="array" ref="F8">IFERROR(INDEX('Matched Pairs'!I:I,ROW()-1),"")</f>
        <v/>
      </c>
      <c r="G8" s="53" t="n"/>
      <c r="H8" s="51" t="n"/>
      <c r="I8" s="13" t="n"/>
      <c r="J8" s="14" t="inlineStr">
        <is>
          <t>https://shop.mango.com/us/en/p/women/coats/coats/manteco-wool-coat-with-belt_27011306?s=20&amp;srsltid=AfmBOophh-hNVSgGynGZWotRf7pi8sa4NfhC8GHvuNy-RLQVJeHZNiGsHtk</t>
        </is>
      </c>
      <c r="K8" s="31" t="n"/>
    </row>
    <row r="9">
      <c r="A9" s="17">
        <f t="array" ref="A9">IFERROR(INDEX('Matched Pairs'!A:A,ROW()-1),"")</f>
        <v/>
      </c>
      <c r="B9" s="17">
        <f t="array" ref="B9">IFERROR(INDEX('Matched Pairs'!B:B,ROW()-1),"")</f>
        <v/>
      </c>
      <c r="C9" s="44">
        <f t="array" ref="C9">IFERROR(INDEX('Matched Pairs'!H:H,ROW()-1),"")</f>
        <v/>
      </c>
      <c r="D9" s="52" t="n">
        <v>249</v>
      </c>
      <c r="E9" s="49">
        <f>IFERROR(IF(AND(C9&lt;&gt;"",D9&lt;&gt;""),(C9-D9)/C9,""),"")</f>
        <v/>
      </c>
      <c r="F9" s="37">
        <f t="array" ref="F9">IFERROR(INDEX('Matched Pairs'!I:I,ROW()-1),"")</f>
        <v/>
      </c>
      <c r="G9" s="53" t="n">
        <v>119</v>
      </c>
      <c r="H9" s="51">
        <f>IFERROR(IF(AND(F9&lt;&gt;"",G9&lt;&gt;""),(F9-G9)/F9,""),"")</f>
        <v/>
      </c>
      <c r="I9" s="13">
        <f>IFERROR(IF(AND(E9&lt;&gt;"",H9&lt;&gt;""),H9-E9,""),"")</f>
        <v/>
      </c>
      <c r="J9" s="14" t="inlineStr">
        <is>
          <t>https://shop.mango.com/gh/en/p/women/coats/coats/manteco-wool-coat-with-fur-collar_27031309</t>
        </is>
      </c>
      <c r="K9" s="15" t="inlineStr">
        <is>
          <t>https://shop.mango.com/it/it/p/donna/cappotti/cappotti/cappotto-lana-revers_17036361</t>
        </is>
      </c>
    </row>
    <row r="10">
      <c r="A10" s="17">
        <f t="array" ref="A10">IFERROR(INDEX('Matched Pairs'!A:A,ROW()-1),"")</f>
        <v/>
      </c>
      <c r="B10" s="17">
        <f t="array" ref="B10">IFERROR(INDEX('Matched Pairs'!B:B,ROW()-1),"")</f>
        <v/>
      </c>
      <c r="C10" s="44">
        <f t="array" ref="C10">IFERROR(INDEX('Matched Pairs'!H:H,ROW()-1),"")</f>
        <v/>
      </c>
      <c r="D10" s="52" t="n">
        <v>279</v>
      </c>
      <c r="E10" s="49">
        <f>IFERROR(IF(AND(C10&lt;&gt;"",D10&lt;&gt;""),(C10-D10)/C10,""),"")</f>
        <v/>
      </c>
      <c r="F10" s="37">
        <f t="array" ref="F10">IFERROR(INDEX('Matched Pairs'!I:I,ROW()-1),"")</f>
        <v/>
      </c>
      <c r="G10" s="53" t="n">
        <v>99.98999999999999</v>
      </c>
      <c r="H10" s="51">
        <f>IFERROR(IF(AND(F10&lt;&gt;"",G10&lt;&gt;""),(F10-G10)/F10,""),"")</f>
        <v/>
      </c>
      <c r="I10" s="13">
        <f>IFERROR(IF(AND(E10&lt;&gt;"",H10&lt;&gt;""),H10-E10,""),"")</f>
        <v/>
      </c>
      <c r="J10" s="14" t="inlineStr">
        <is>
          <t>https://shop.mango.com/us/en/p/men/coats/coats/manteco-wool-coat-with-lapels_27061172?s=23&amp;srsltid=AfmBOopLb77GpDXg0uY2klNkf9_KcmgC6ZscAQi_q6H5O2aZWPe2PeOJkE8</t>
        </is>
      </c>
      <c r="K10" s="14" t="inlineStr">
        <is>
          <t>https://shop.mango.com/it/it/p/uomo/cappotti/cappotti/cappotto-lana-spigato_27071171</t>
        </is>
      </c>
    </row>
    <row r="11" ht="19.5" customHeight="1" s="90">
      <c r="A11" s="17">
        <f t="array" ref="A11">IFERROR(INDEX('Matched Pairs'!A:A,ROW()-1),"")</f>
        <v/>
      </c>
      <c r="B11" s="17">
        <f t="array" ref="B11">IFERROR(INDEX('Matched Pairs'!B:B,ROW()-1),"")</f>
        <v/>
      </c>
      <c r="C11" s="44">
        <f t="array" ref="C11">IFERROR(INDEX('Matched Pairs'!H:H,ROW()-1),"")</f>
        <v/>
      </c>
      <c r="D11" s="52" t="n"/>
      <c r="E11" s="49">
        <f>IFERROR(IF(AND(C11&lt;&gt;"",D11&lt;&gt;""),(C11-D11)/C11,""),"")</f>
        <v/>
      </c>
      <c r="F11" s="37">
        <f t="array" ref="F11">IFERROR(INDEX('Matched Pairs'!I:I,ROW()-1),"")</f>
        <v/>
      </c>
      <c r="G11" s="53" t="n"/>
      <c r="H11" s="51">
        <f>IFERROR(IF(AND(F11&lt;&gt;"",G11&lt;&gt;""),(F11-G11)/F11,""),"")</f>
        <v/>
      </c>
      <c r="I11" s="13">
        <f>IFERROR(IF(AND(E11&lt;&gt;"",H11&lt;&gt;""),H11-E11,""),"")</f>
        <v/>
      </c>
      <c r="J11" s="14" t="inlineStr">
        <is>
          <t>https://www2.hm.com/it_it/productpage.1304699001.html?srsltid=AfmBOorTa2KQ9KsQcZIONGuI3PLEI3EDLTjKSPL-BG7AbG0WgLCviZpu</t>
        </is>
      </c>
      <c r="K11" s="14" t="n"/>
    </row>
    <row r="12">
      <c r="A12" s="17">
        <f t="array" ref="A12">IFERROR(INDEX('Matched Pairs'!A:A,ROW()-1),"")</f>
        <v/>
      </c>
      <c r="B12" s="17">
        <f t="array" ref="B12">IFERROR(INDEX('Matched Pairs'!B:B,ROW()-1),"")</f>
        <v/>
      </c>
      <c r="C12" s="44">
        <f t="array" ref="C12">IFERROR(INDEX('Matched Pairs'!H:H,ROW()-1),"")</f>
        <v/>
      </c>
      <c r="D12" s="52" t="n">
        <v>195</v>
      </c>
      <c r="E12" s="49">
        <f>IFERROR(IF(AND(C12&lt;&gt;"",D12&lt;&gt;""),(C12-D12)/C12,""),"")</f>
        <v/>
      </c>
      <c r="F12" s="37">
        <f t="array" ref="F12">IFERROR(INDEX('Matched Pairs'!I:I,ROW()-1),"")</f>
        <v/>
      </c>
      <c r="G12" s="53" t="n"/>
      <c r="H12" s="51">
        <f>IFERROR(IF(AND(F12&lt;&gt;"",G12&lt;&gt;""),(F12-G12)/F12,""),"")</f>
        <v/>
      </c>
      <c r="I12" s="13">
        <f>IFERROR(IF(AND(E12&lt;&gt;"",H12&lt;&gt;""),H12-E12,""),"")</f>
        <v/>
      </c>
      <c r="J12" s="14" t="inlineStr">
        <is>
          <t>https://www2.hm.com/it_it/productpage.1288164001.html?srsltid=AfmBOooG7v5hqupC8L_Tb_Fr4sTU0AqGL-ijdmRzqN-7BQhwwL8bLPoV</t>
        </is>
      </c>
      <c r="K12" s="31" t="n"/>
    </row>
    <row r="13">
      <c r="A13" s="17">
        <f t="array" ref="A13">IFERROR(INDEX('Matched Pairs'!A:A,ROW()-1),"")</f>
        <v/>
      </c>
      <c r="B13" s="17">
        <f t="array" ref="B13">IFERROR(INDEX('Matched Pairs'!B:B,ROW()-1),"")</f>
        <v/>
      </c>
      <c r="C13" s="44">
        <f t="array" ref="C13">IFERROR(INDEX('Matched Pairs'!H:H,ROW()-1),"")</f>
        <v/>
      </c>
      <c r="D13" s="52" t="n">
        <v>119</v>
      </c>
      <c r="E13" s="49">
        <f>IFERROR(IF(AND(C13&lt;&gt;"",D13&lt;&gt;""),(C13-D13)/C13,""),"")</f>
        <v/>
      </c>
      <c r="F13" s="37">
        <f t="array" ref="F13">IFERROR(INDEX('Matched Pairs'!I:I,ROW()-1),"")</f>
        <v/>
      </c>
      <c r="G13" s="53" t="n"/>
      <c r="H13" s="51">
        <f>IFERROR(IF(AND(F13&lt;&gt;"",G13&lt;&gt;""),(F13-G13)/F13,""),"")</f>
        <v/>
      </c>
      <c r="I13" s="13">
        <f>IFERROR(IF(AND(E13&lt;&gt;"",H13&lt;&gt;""),H13-E13,""),"")</f>
        <v/>
      </c>
      <c r="J13" s="14" t="inlineStr">
        <is>
          <t>https://www2.hm.com/it_it/productpage.1229568001.html?srsltid=AfmBOoo-lwAtdWsBO13v2DuB_Favyx5OW_Sf2mgiv_TlU5RPyoaL5fnf</t>
        </is>
      </c>
      <c r="K13" s="31" t="n"/>
    </row>
    <row r="14" ht="19.5" customHeight="1" s="90">
      <c r="A14" s="17">
        <f t="array" ref="A14">IFERROR(INDEX('Matched Pairs'!A:A,ROW()-1),"")</f>
        <v/>
      </c>
      <c r="B14" s="17">
        <f t="array" ref="B14">IFERROR(INDEX('Matched Pairs'!B:B,ROW()-1),"")</f>
        <v/>
      </c>
      <c r="C14" s="44">
        <f t="array" ref="C14">IFERROR(INDEX('Matched Pairs'!H:H,ROW()-1),"")</f>
        <v/>
      </c>
      <c r="D14" s="52" t="n"/>
      <c r="E14" s="49">
        <f>IFERROR(IF(AND(C14&lt;&gt;"",D14&lt;&gt;""),(C14-D14)/C14,""),"")</f>
        <v/>
      </c>
      <c r="F14" s="37">
        <f t="array" ref="F14">IFERROR(INDEX('Matched Pairs'!I:I,ROW()-1),"")</f>
        <v/>
      </c>
      <c r="G14" s="53" t="n"/>
      <c r="H14" s="51">
        <f>IFERROR(IF(AND(F14&lt;&gt;"",G14&lt;&gt;""),(F14-G14)/F14,""),"")</f>
        <v/>
      </c>
      <c r="I14" s="13">
        <f>IFERROR(IF(AND(E14&lt;&gt;"",H14&lt;&gt;""),H14-E14,""),"")</f>
        <v/>
      </c>
      <c r="J14" s="31" t="n"/>
      <c r="K14" s="31" t="n"/>
    </row>
    <row r="15" ht="19.5" customHeight="1" s="90">
      <c r="A15" s="17">
        <f t="array" ref="A15">IFERROR(INDEX('Matched Pairs'!A:A,ROW()-1),"")</f>
        <v/>
      </c>
      <c r="B15" s="17">
        <f t="array" ref="B15">IFERROR(INDEX('Matched Pairs'!B:B,ROW()-1),"")</f>
        <v/>
      </c>
      <c r="C15" s="44">
        <f t="array" ref="C15">IFERROR(INDEX('Matched Pairs'!H:H,ROW()-1),"")</f>
        <v/>
      </c>
      <c r="D15" s="52" t="n"/>
      <c r="E15" s="49">
        <f>IFERROR(IF(AND(C15&lt;&gt;"",D15&lt;&gt;""),(C15-D15)/C15,""),"")</f>
        <v/>
      </c>
      <c r="F15" s="37">
        <f t="array" ref="F15">IFERROR(INDEX('Matched Pairs'!I:I,ROW()-1),"")</f>
        <v/>
      </c>
      <c r="G15" s="53" t="n"/>
      <c r="H15" s="51">
        <f>IFERROR(IF(AND(F15&lt;&gt;"",G15&lt;&gt;""),(F15-G15)/F15,""),"")</f>
        <v/>
      </c>
      <c r="I15" s="13">
        <f>IFERROR(IF(AND(E15&lt;&gt;"",H15&lt;&gt;""),H15-E15,""),"")</f>
        <v/>
      </c>
      <c r="J15" s="31" t="n"/>
      <c r="K15" s="31" t="n"/>
    </row>
    <row r="16">
      <c r="A16" s="17">
        <f t="array" ref="A16">IFERROR(INDEX('Matched Pairs'!A:A,ROW()-1),"")</f>
        <v/>
      </c>
      <c r="B16" s="17">
        <f t="array" ref="B16">IFERROR(INDEX('Matched Pairs'!B:B,ROW()-1),"")</f>
        <v/>
      </c>
      <c r="C16" s="44">
        <f t="array" ref="C16">IFERROR(INDEX('Matched Pairs'!H:H,ROW()-1),"")</f>
        <v/>
      </c>
      <c r="D16" s="52" t="n">
        <v>925</v>
      </c>
      <c r="E16" s="49">
        <f>IFERROR(IF(AND(C16&lt;&gt;"",D16&lt;&gt;""),(C16-D16)/C16,""),"")</f>
        <v/>
      </c>
      <c r="F16" s="37">
        <f t="array" ref="F16">IFERROR(INDEX('Matched Pairs'!I:I,ROW()-1),"")</f>
        <v/>
      </c>
      <c r="G16" s="53" t="n">
        <v>149</v>
      </c>
      <c r="H16" s="51">
        <f>IFERROR(IF(AND(F16&lt;&gt;"",G16&lt;&gt;""),(F16-G16)/F16,""),"")</f>
        <v/>
      </c>
      <c r="I16" s="13">
        <f>IFERROR(IF(AND(E16&lt;&gt;"",H16&lt;&gt;""),H16-E16,""),"")</f>
        <v/>
      </c>
      <c r="J16" s="14" t="inlineStr">
        <is>
          <t>https://www.woolrich.com/us/en/2-in-1-sideline-parka-in-manteco-recycled-wool-blend-CFWWOU0944FRUT3492_7391.html</t>
        </is>
      </c>
      <c r="K16" s="14" t="inlineStr">
        <is>
          <t>https://www.woolrich.com/it/it/giacca-a-camicia-in-misto-lana-con-motivo-a-quadri-CFWOOS2021MRUT5178_8914.html</t>
        </is>
      </c>
    </row>
    <row r="17">
      <c r="A17" s="17">
        <f t="array" ref="A17">IFERROR(INDEX('Matched Pairs'!A:A,ROW()-1),"")</f>
        <v/>
      </c>
      <c r="B17" s="17">
        <f t="array" ref="B17">IFERROR(INDEX('Matched Pairs'!B:B,ROW()-1),"")</f>
        <v/>
      </c>
      <c r="C17" s="44">
        <f t="array" ref="C17">IFERROR(INDEX('Matched Pairs'!H:H,ROW()-1),"")</f>
        <v/>
      </c>
      <c r="D17" s="52" t="n">
        <v>48</v>
      </c>
      <c r="E17" s="49">
        <f>IFERROR(IF(AND(C17&lt;&gt;"",D17&lt;&gt;""),(C17-D17)/C17,""),"")</f>
        <v/>
      </c>
      <c r="F17" s="37">
        <f t="array" ref="F17">IFERROR(INDEX('Matched Pairs'!I:I,ROW()-1),"")</f>
        <v/>
      </c>
      <c r="G17" s="53" t="n">
        <v>305</v>
      </c>
      <c r="H17" s="51">
        <f>IFERROR(IF(AND(F17&lt;&gt;"",G17&lt;&gt;""),(F17-G17)/F17,""),"")</f>
        <v/>
      </c>
      <c r="I17" s="13">
        <f>IFERROR(IF(AND(E17&lt;&gt;"",H17&lt;&gt;""),H17-E17,""),"")</f>
        <v/>
      </c>
      <c r="J17" s="14" t="inlineStr">
        <is>
          <t>https://www.karenmillen.com/product/karen-millen-italian-manteco-wool-stitch-detail-trench-midi-coat_bkk13707?utm_source=&amp;colour=black</t>
        </is>
      </c>
      <c r="K17" s="16" t="inlineStr">
        <is>
          <t>https://www.karenmillen.com/us/product/karen-millen-italian-wool-double-breasted-military-midi-coat_bkk21259?colour=camel</t>
        </is>
      </c>
    </row>
    <row r="18">
      <c r="A18" s="17">
        <f t="array" ref="A18">IFERROR(INDEX('Matched Pairs'!A:A,ROW()-1),"")</f>
        <v/>
      </c>
      <c r="B18" s="17">
        <f t="array" ref="B18">IFERROR(INDEX('Matched Pairs'!B:B,ROW()-1),"")</f>
        <v/>
      </c>
      <c r="C18" s="44">
        <f t="array" ref="C18">IFERROR(INDEX('Matched Pairs'!H:H,ROW()-1),"")</f>
        <v/>
      </c>
      <c r="D18" s="52" t="n">
        <v>118</v>
      </c>
      <c r="E18" s="49">
        <f>IFERROR(IF(AND(C18&lt;&gt;"",D18&lt;&gt;""),(C18-D18)/C18,""),"")</f>
        <v/>
      </c>
      <c r="F18" s="37">
        <f t="array" ref="F18">IFERROR(INDEX('Matched Pairs'!I:I,ROW()-1),"")</f>
        <v/>
      </c>
      <c r="G18" s="53" t="n"/>
      <c r="H18" s="51">
        <f>IFERROR(IF(AND(F18&lt;&gt;"",G18&lt;&gt;""),(F18-G18)/F18,""),"")</f>
        <v/>
      </c>
      <c r="I18" s="13">
        <f>IFERROR(IF(AND(E18&lt;&gt;"",H18&lt;&gt;""),H18-E18,""),"")</f>
        <v/>
      </c>
      <c r="J18" s="14" t="inlineStr">
        <is>
          <t>https://www.aritzia.com/intl/en/product/portfolio-double-face-coat/111630.html?color=4425</t>
        </is>
      </c>
      <c r="K18" s="31" t="n"/>
    </row>
    <row r="19">
      <c r="A19" s="17">
        <f t="array" ref="A19">IFERROR(INDEX('Matched Pairs'!A:A,ROW()-1),"")</f>
        <v/>
      </c>
      <c r="B19" s="17">
        <f t="array" ref="B19">IFERROR(INDEX('Matched Pairs'!B:B,ROW()-1),"")</f>
        <v/>
      </c>
      <c r="C19" s="44">
        <f t="array" ref="C19">IFERROR(INDEX('Matched Pairs'!H:H,ROW()-1),"")</f>
        <v/>
      </c>
      <c r="D19" s="52" t="n"/>
      <c r="E19" s="49">
        <f>IFERROR(IF(AND(C19&lt;&gt;"",D19&lt;&gt;""),(C19-D19)/C19,""),"")</f>
        <v/>
      </c>
      <c r="F19" s="37">
        <f t="array" ref="F19">IFERROR(INDEX('Matched Pairs'!I:I,ROW()-1),"")</f>
        <v/>
      </c>
      <c r="G19" s="53" t="n"/>
      <c r="H19" s="51" t="n"/>
      <c r="I19" s="13">
        <f>IFERROR(IF(AND(E19&lt;&gt;"",H19&lt;&gt;""),H19-E19,""),"")</f>
        <v/>
      </c>
      <c r="J19" s="14" t="n"/>
      <c r="K19" s="31" t="n"/>
    </row>
    <row r="20" ht="19.5" customHeight="1" s="90">
      <c r="A20" s="17">
        <f t="array" ref="A20">IFERROR(INDEX('Matched Pairs'!A:A,ROW()-1),"")</f>
        <v/>
      </c>
      <c r="B20" s="17">
        <f t="array" ref="B20">IFERROR(INDEX('Matched Pairs'!B:B,ROW()-1),"")</f>
        <v/>
      </c>
      <c r="C20" s="44">
        <f t="array" ref="C20">IFERROR(INDEX('Matched Pairs'!H:H,ROW()-1),"")</f>
        <v/>
      </c>
      <c r="D20" s="52" t="n">
        <v>111.95</v>
      </c>
      <c r="E20" s="49">
        <f>IFERROR(IF(AND(C20&lt;&gt;"",D20&lt;&gt;""),(C20-D20)/C20,""),"")</f>
        <v/>
      </c>
      <c r="F20" s="37">
        <f t="array" ref="F20">IFERROR(INDEX('Matched Pairs'!I:I,ROW()-1),"")</f>
        <v/>
      </c>
      <c r="G20" s="53" t="n"/>
      <c r="H20" s="51">
        <f>IFERROR(IF(AND(F20&lt;&gt;"",G20&lt;&gt;""),(F20-G20)/F20,""),"")</f>
        <v/>
      </c>
      <c r="I20" s="13">
        <f>IFERROR(IF(AND(E20&lt;&gt;"",H20&lt;&gt;""),H20-E20,""),"")</f>
        <v/>
      </c>
      <c r="J20" s="14" t="inlineStr">
        <is>
          <t>https://www.selected.com/it-it/p/cappotto-in-misto-lana/16098258_Delicioso</t>
        </is>
      </c>
      <c r="K20" s="31" t="n"/>
    </row>
    <row r="21" ht="19.5" customHeight="1" s="90">
      <c r="A21" s="17">
        <f t="array" ref="A21">IFERROR(INDEX('Matched Pairs'!A:A,ROW()-1),"")</f>
        <v/>
      </c>
      <c r="B21" s="17">
        <f t="array" ref="B21">IFERROR(INDEX('Matched Pairs'!B:B,ROW()-1),"")</f>
        <v/>
      </c>
      <c r="C21" s="44">
        <f t="array" ref="C21">IFERROR(INDEX('Matched Pairs'!H:H,ROW()-1),"")</f>
        <v/>
      </c>
      <c r="D21" s="52" t="n"/>
      <c r="E21" s="49">
        <f>IFERROR(IF(AND(C21&lt;&gt;"",D21&lt;&gt;""),(C21-D21)/C21,""),"")</f>
        <v/>
      </c>
      <c r="F21" s="37">
        <f t="array" ref="F21">IFERROR(INDEX('Matched Pairs'!I:I,ROW()-1),"")</f>
        <v/>
      </c>
      <c r="G21" s="53" t="n"/>
      <c r="H21" s="51">
        <f>IFERROR(IF(AND(F21&lt;&gt;"",G21&lt;&gt;""),(F21-G21)/F21,""),"")</f>
        <v/>
      </c>
      <c r="I21" s="13">
        <f>IFERROR(IF(AND(E21&lt;&gt;"",H21&lt;&gt;""),H21-E21,""),"")</f>
        <v/>
      </c>
      <c r="J21" s="31" t="n"/>
      <c r="K21" s="31" t="n"/>
    </row>
    <row r="22" ht="19.5" customHeight="1" s="90">
      <c r="A22" s="17">
        <f t="array" ref="A22">IFERROR(INDEX('Matched Pairs'!A:A,ROW()-1),"")</f>
        <v/>
      </c>
      <c r="B22" s="17">
        <f t="array" ref="B22">IFERROR(INDEX('Matched Pairs'!B:B,ROW()-1),"")</f>
        <v/>
      </c>
      <c r="C22" s="44">
        <f t="array" ref="C22">IFERROR(INDEX('Matched Pairs'!H:H,ROW()-1),"")</f>
        <v/>
      </c>
      <c r="D22" s="52" t="n"/>
      <c r="E22" s="49">
        <f>IFERROR(IF(AND(C22&lt;&gt;"",D22&lt;&gt;""),(C22-D22)/C22,""),"")</f>
        <v/>
      </c>
      <c r="F22" s="37">
        <f t="array" ref="F22">IFERROR(INDEX('Matched Pairs'!I:I,ROW()-1),"")</f>
        <v/>
      </c>
      <c r="G22" s="53" t="n">
        <v>45.95</v>
      </c>
      <c r="H22" s="51">
        <f>IFERROR(IF(AND(F22&lt;&gt;"",G22&lt;&gt;""),(F22-G22)/F22,""),"")</f>
        <v/>
      </c>
      <c r="I22" s="13">
        <f>IFERROR(IF(AND(E22&lt;&gt;"",H22&lt;&gt;""),H22-E22,""),"")</f>
        <v/>
      </c>
      <c r="J22" s="31" t="n"/>
      <c r="K22" s="14" t="inlineStr">
        <is>
          <t>https://www.zara.com/it/it/cappotto-corto-misto-lana-con-collo-alto-p02077323.html?v1=498022789&amp;v2=2419020</t>
        </is>
      </c>
    </row>
    <row r="23">
      <c r="A23" s="17">
        <f t="array" ref="A23">IFERROR(INDEX('Matched Pairs'!A:A,ROW()-1),"")</f>
        <v/>
      </c>
      <c r="B23" s="17">
        <f t="array" ref="B23">IFERROR(INDEX('Matched Pairs'!B:B,ROW()-1),"")</f>
        <v/>
      </c>
      <c r="C23" s="44">
        <f t="array" ref="C23">IFERROR(INDEX('Matched Pairs'!H:H,ROW()-1),"")</f>
        <v/>
      </c>
      <c r="D23" s="52" t="n">
        <v>149.99</v>
      </c>
      <c r="E23" s="49">
        <f>IFERROR(IF(AND(C23&lt;&gt;"",D23&lt;&gt;""),(C23-D23)/C23,""),"")</f>
        <v/>
      </c>
      <c r="F23" s="37">
        <f t="array" ref="F23">IFERROR(INDEX('Matched Pairs'!I:I,ROW()-1),"")</f>
        <v/>
      </c>
      <c r="G23" s="53" t="n">
        <v>99.98999999999999</v>
      </c>
      <c r="H23" s="51">
        <f>IFERROR(IF(AND(F23&lt;&gt;"",G23&lt;&gt;""),(F23-G23)/F23,""),"")</f>
        <v/>
      </c>
      <c r="I23" s="13">
        <f>IFERROR(IF(AND(E23&lt;&gt;"",H23&lt;&gt;""),H23-E23,""),"")</f>
        <v/>
      </c>
      <c r="J23" s="14" t="inlineStr">
        <is>
          <t xml:space="preserve">https://shop.mango.com/us/en/p/women/coats/coats/manteco-wool-coat-with-lapels_17016360?s=21&amp;srsltid=AfmBOoqU_n1U9wZwRw-7PFSW3U7GOHA64XNR6QmQ2CtE4GE3U5R8iTd0B54
</t>
        </is>
      </c>
      <c r="K23" s="14" t="inlineStr">
        <is>
          <t>https://shop.mango.com/it/it/p/uomo/cappotti/cappotti/cappotto-lana-spigato_27071171</t>
        </is>
      </c>
    </row>
    <row r="24" ht="19.5" customHeight="1" s="90">
      <c r="A24" s="17">
        <f t="array" ref="A24">IFERROR(INDEX('Matched Pairs'!A:A,ROW()-1),"")</f>
        <v/>
      </c>
      <c r="B24" s="17">
        <f t="array" ref="B24">IFERROR(INDEX('Matched Pairs'!B:B,ROW()-1),"")</f>
        <v/>
      </c>
      <c r="C24" s="44">
        <f t="array" ref="C24">IFERROR(INDEX('Matched Pairs'!H:H,ROW()-1),"")</f>
        <v/>
      </c>
      <c r="D24" s="52" t="n"/>
      <c r="E24" s="49">
        <f>IFERROR(IF(AND(C24&lt;&gt;"",D24&lt;&gt;""),(C24-D24)/C24,""),"")</f>
        <v/>
      </c>
      <c r="F24" s="37">
        <f t="array" ref="F24">IFERROR(INDEX('Matched Pairs'!I:I,ROW()-1),"")</f>
        <v/>
      </c>
      <c r="G24" s="53" t="n"/>
      <c r="H24" s="51">
        <f>IFERROR(IF(AND(F24&lt;&gt;"",G24&lt;&gt;""),(F24-G24)/F24,""),"")</f>
        <v/>
      </c>
      <c r="I24" s="13">
        <f>IFERROR(IF(AND(E24&lt;&gt;"",H24&lt;&gt;""),H24-E24,""),"")</f>
        <v/>
      </c>
      <c r="J24" s="31" t="n"/>
      <c r="K24" s="31" t="n"/>
    </row>
    <row r="25" ht="19.5" customHeight="1" s="90">
      <c r="A25" s="17">
        <f t="array" ref="A25">IFERROR(INDEX('Matched Pairs'!A:A,ROW()-1),"")</f>
        <v/>
      </c>
      <c r="B25" s="17">
        <f t="array" ref="B25">IFERROR(INDEX('Matched Pairs'!B:B,ROW()-1),"")</f>
        <v/>
      </c>
      <c r="C25" s="44">
        <f t="array" ref="C25">IFERROR(INDEX('Matched Pairs'!H:H,ROW()-1),"")</f>
        <v/>
      </c>
      <c r="D25" s="52" t="n"/>
      <c r="E25" s="49">
        <f>IFERROR(IF(AND(C25&lt;&gt;"",D25&lt;&gt;""),(C25-D25)/C25,""),"")</f>
        <v/>
      </c>
      <c r="F25" s="37">
        <f t="array" ref="F25">IFERROR(INDEX('Matched Pairs'!I:I,ROW()-1),"")</f>
        <v/>
      </c>
      <c r="G25" s="53" t="n"/>
      <c r="H25" s="51">
        <f>IFERROR(IF(AND(F25&lt;&gt;"",G25&lt;&gt;""),(F25-G25)/F25,""),"")</f>
        <v/>
      </c>
      <c r="I25" s="13">
        <f>IFERROR(IF(AND(E25&lt;&gt;"",H25&lt;&gt;""),H25-E25,""),"")</f>
        <v/>
      </c>
      <c r="J25" s="31" t="n"/>
      <c r="K25" s="31" t="n"/>
    </row>
    <row r="26" ht="19.5" customHeight="1" s="90">
      <c r="A26" s="17">
        <f t="array" ref="A26">IFERROR(INDEX('Matched Pairs'!A:A,ROW()-1),"")</f>
        <v/>
      </c>
      <c r="B26" s="17">
        <f t="array" ref="B26">IFERROR(INDEX('Matched Pairs'!B:B,ROW()-1),"")</f>
        <v/>
      </c>
      <c r="C26" s="44">
        <f t="array" ref="C26">IFERROR(INDEX('Matched Pairs'!H:H,ROW()-1),"")</f>
        <v/>
      </c>
      <c r="D26" s="52" t="n"/>
      <c r="E26" s="49">
        <f>IFERROR(IF(AND(C26&lt;&gt;"",D26&lt;&gt;""),(C26-D26)/C26,""),"")</f>
        <v/>
      </c>
      <c r="F26" s="37">
        <f t="array" ref="F26">IFERROR(INDEX('Matched Pairs'!I:I,ROW()-1),"")</f>
        <v/>
      </c>
      <c r="G26" s="53" t="n"/>
      <c r="H26" s="51">
        <f>IFERROR(IF(AND(F26&lt;&gt;"",G26&lt;&gt;""),(F26-G26)/F26,""),"")</f>
        <v/>
      </c>
      <c r="I26" s="13">
        <f>IFERROR(IF(AND(E26&lt;&gt;"",H26&lt;&gt;""),H26-E26,""),"")</f>
        <v/>
      </c>
      <c r="J26" s="31" t="n"/>
      <c r="K26" s="31" t="n"/>
    </row>
    <row r="27" ht="19.5" customHeight="1" s="90">
      <c r="A27" s="17">
        <f t="array" ref="A27">IFERROR(INDEX('Matched Pairs'!A:A,ROW()-1),"")</f>
        <v/>
      </c>
      <c r="B27" s="17">
        <f t="array" ref="B27">IFERROR(INDEX('Matched Pairs'!B:B,ROW()-1),"")</f>
        <v/>
      </c>
      <c r="C27" s="44">
        <f t="array" ref="C27">IFERROR(INDEX('Matched Pairs'!H:H,ROW()-1),"")</f>
        <v/>
      </c>
      <c r="D27" s="52" t="n"/>
      <c r="E27" s="49">
        <f>IFERROR(IF(AND(C27&lt;&gt;"",D27&lt;&gt;""),(C27-D27)/C27,""),"")</f>
        <v/>
      </c>
      <c r="F27" s="37">
        <f t="array" ref="F27">IFERROR(INDEX('Matched Pairs'!I:I,ROW()-1),"")</f>
        <v/>
      </c>
      <c r="G27" s="53" t="n"/>
      <c r="H27" s="51">
        <f>IFERROR(IF(AND(F27&lt;&gt;"",G27&lt;&gt;""),(F27-G27)/F27,""),"")</f>
        <v/>
      </c>
      <c r="I27" s="13">
        <f>IFERROR(IF(AND(E27&lt;&gt;"",H27&lt;&gt;""),H27-E27,""),"")</f>
        <v/>
      </c>
      <c r="J27" s="31" t="n"/>
      <c r="K27" s="31" t="n"/>
    </row>
    <row r="28" ht="19.5" customHeight="1" s="90">
      <c r="A28" s="17">
        <f t="array" ref="A28">IFERROR(INDEX('Matched Pairs'!A:A,ROW()-1),"")</f>
        <v/>
      </c>
      <c r="B28" s="17">
        <f t="array" ref="B28">IFERROR(INDEX('Matched Pairs'!B:B,ROW()-1),"")</f>
        <v/>
      </c>
      <c r="C28" s="44">
        <f t="array" ref="C28">IFERROR(INDEX('Matched Pairs'!H:H,ROW()-1),"")</f>
        <v/>
      </c>
      <c r="D28" s="52" t="n"/>
      <c r="E28" s="49">
        <f>IFERROR(IF(AND(C28&lt;&gt;"",D28&lt;&gt;""),(C28-D28)/C28,""),"")</f>
        <v/>
      </c>
      <c r="F28" s="37">
        <f t="array" ref="F28">IFERROR(INDEX('Matched Pairs'!I:I,ROW()-1),"")</f>
        <v/>
      </c>
      <c r="G28" s="53" t="n"/>
      <c r="H28" s="51">
        <f>IFERROR(IF(AND(F28&lt;&gt;"",G28&lt;&gt;""),(F28-G28)/F28,""),"")</f>
        <v/>
      </c>
      <c r="I28" s="13">
        <f>IFERROR(IF(AND(E28&lt;&gt;"",H28&lt;&gt;""),H28-E28,""),"")</f>
        <v/>
      </c>
      <c r="J28" s="31" t="n"/>
      <c r="K28" s="31" t="n"/>
    </row>
    <row r="29" ht="19.5" customHeight="1" s="90">
      <c r="A29" s="17">
        <f t="array" ref="A29">IFERROR(INDEX('Matched Pairs'!A:A,ROW()-1),"")</f>
        <v/>
      </c>
      <c r="B29" s="17">
        <f t="array" ref="B29">IFERROR(INDEX('Matched Pairs'!B:B,ROW()-1),"")</f>
        <v/>
      </c>
      <c r="C29" s="44">
        <f t="array" ref="C29">IFERROR(INDEX('Matched Pairs'!H:H,ROW()-1),"")</f>
        <v/>
      </c>
      <c r="D29" s="52" t="n"/>
      <c r="E29" s="49">
        <f>IFERROR(IF(AND(C29&lt;&gt;"",D29&lt;&gt;""),(C29-D29)/C29,""),"")</f>
        <v/>
      </c>
      <c r="F29" s="37">
        <f t="array" ref="F29">IFERROR(INDEX('Matched Pairs'!I:I,ROW()-1),"")</f>
        <v/>
      </c>
      <c r="G29" s="53" t="n"/>
      <c r="H29" s="51">
        <f>IFERROR(IF(AND(F29&lt;&gt;"",G29&lt;&gt;""),(F29-G29)/F29,""),"")</f>
        <v/>
      </c>
      <c r="I29" s="13">
        <f>IFERROR(IF(AND(E29&lt;&gt;"",H29&lt;&gt;""),H29-E29,""),"")</f>
        <v/>
      </c>
      <c r="J29" s="31" t="n"/>
      <c r="K29" s="31" t="n"/>
    </row>
    <row r="30" ht="19.5" customHeight="1" s="90">
      <c r="A30" s="17">
        <f t="array" ref="A30">IFERROR(INDEX('Matched Pairs'!A:A,ROW()-1),"")</f>
        <v/>
      </c>
      <c r="B30" s="17">
        <f t="array" ref="B30">IFERROR(INDEX('Matched Pairs'!B:B,ROW()-1),"")</f>
        <v/>
      </c>
      <c r="C30" s="44">
        <f t="array" ref="C30">IFERROR(INDEX('Matched Pairs'!H:H,ROW()-1),"")</f>
        <v/>
      </c>
      <c r="D30" s="52" t="n"/>
      <c r="E30" s="49">
        <f>IFERROR(IF(AND(C30&lt;&gt;"",D30&lt;&gt;""),(C30-D30)/C30,""),"")</f>
        <v/>
      </c>
      <c r="F30" s="37">
        <f t="array" ref="F30">IFERROR(INDEX('Matched Pairs'!I:I,ROW()-1),"")</f>
        <v/>
      </c>
      <c r="G30" s="53" t="n"/>
      <c r="H30" s="51">
        <f>IFERROR(IF(AND(F30&lt;&gt;"",G30&lt;&gt;""),(F30-G30)/F30,""),"")</f>
        <v/>
      </c>
      <c r="I30" s="13">
        <f>IFERROR(IF(AND(E30&lt;&gt;"",H30&lt;&gt;""),H30-E30,""),"")</f>
        <v/>
      </c>
      <c r="J30" s="31" t="n"/>
      <c r="K30" s="31" t="n"/>
    </row>
    <row r="31" ht="19.5" customHeight="1" s="90">
      <c r="A31" s="17">
        <f t="array" ref="A31">IFERROR(INDEX('Matched Pairs'!A:A,ROW()-1),"")</f>
        <v/>
      </c>
      <c r="B31" s="17">
        <f t="array" ref="B31">IFERROR(INDEX('Matched Pairs'!B:B,ROW()-1),"")</f>
        <v/>
      </c>
      <c r="C31" s="44">
        <f t="array" ref="C31">IFERROR(INDEX('Matched Pairs'!H:H,ROW()-1),"")</f>
        <v/>
      </c>
      <c r="D31" s="52" t="n"/>
      <c r="E31" s="49">
        <f>IFERROR(IF(AND(C31&lt;&gt;"",D31&lt;&gt;""),(C31-D31)/C31,""),"")</f>
        <v/>
      </c>
      <c r="F31" s="37">
        <f t="array" ref="F31">IFERROR(INDEX('Matched Pairs'!I:I,ROW()-1),"")</f>
        <v/>
      </c>
      <c r="G31" s="53" t="n"/>
      <c r="H31" s="51">
        <f>IFERROR(IF(AND(F31&lt;&gt;"",G31&lt;&gt;""),(F31-G31)/F31,""),"")</f>
        <v/>
      </c>
      <c r="I31" s="13">
        <f>IFERROR(IF(AND(E31&lt;&gt;"",H31&lt;&gt;""),H31-E31,""),"")</f>
        <v/>
      </c>
      <c r="J31" s="31" t="n"/>
      <c r="K31" s="31" t="n"/>
    </row>
    <row r="32" ht="19.5" customHeight="1" s="90">
      <c r="A32" s="17">
        <f t="array" ref="A32">IFERROR(INDEX('Matched Pairs'!A:A,ROW()-1),"")</f>
        <v/>
      </c>
      <c r="B32" s="17">
        <f t="array" ref="B32">IFERROR(INDEX('Matched Pairs'!B:B,ROW()-1),"")</f>
        <v/>
      </c>
      <c r="C32" s="44">
        <f t="array" ref="C32">IFERROR(INDEX('Matched Pairs'!H:H,ROW()-1),"")</f>
        <v/>
      </c>
      <c r="D32" s="52" t="n"/>
      <c r="E32" s="49">
        <f>IFERROR(IF(AND(C32&lt;&gt;"",D32&lt;&gt;""),(C32-D32)/C32,""),"")</f>
        <v/>
      </c>
      <c r="F32" s="37">
        <f t="array" ref="F32">IFERROR(INDEX('Matched Pairs'!I:I,ROW()-1),"")</f>
        <v/>
      </c>
      <c r="G32" s="53" t="n"/>
      <c r="H32" s="51">
        <f>IFERROR(IF(AND(F32&lt;&gt;"",G32&lt;&gt;""),(F32-G32)/F32,""),"")</f>
        <v/>
      </c>
      <c r="I32" s="13">
        <f>IFERROR(IF(AND(E32&lt;&gt;"",H32&lt;&gt;""),H32-E32,""),"")</f>
        <v/>
      </c>
      <c r="J32" s="31" t="n"/>
      <c r="K32" s="31" t="n"/>
    </row>
    <row r="33" ht="19.5" customHeight="1" s="90">
      <c r="A33" s="17">
        <f t="array" ref="A33">IFERROR(INDEX('Matched Pairs'!A:A,ROW()-1),"")</f>
        <v/>
      </c>
      <c r="B33" s="17">
        <f t="array" ref="B33">IFERROR(INDEX('Matched Pairs'!B:B,ROW()-1),"")</f>
        <v/>
      </c>
      <c r="C33" s="44">
        <f t="array" ref="C33">IFERROR(INDEX('Matched Pairs'!H:H,ROW()-1),"")</f>
        <v/>
      </c>
      <c r="D33" s="52" t="n"/>
      <c r="E33" s="49">
        <f>IFERROR(IF(AND(C33&lt;&gt;"",D33&lt;&gt;""),(C33-D33)/C33,""),"")</f>
        <v/>
      </c>
      <c r="F33" s="37">
        <f t="array" ref="F33">IFERROR(INDEX('Matched Pairs'!I:I,ROW()-1),"")</f>
        <v/>
      </c>
      <c r="G33" s="53" t="n"/>
      <c r="H33" s="51">
        <f>IFERROR(IF(AND(F33&lt;&gt;"",G33&lt;&gt;""),(F33-G33)/F33,""),"")</f>
        <v/>
      </c>
      <c r="I33" s="13">
        <f>IFERROR(IF(AND(E33&lt;&gt;"",H33&lt;&gt;""),H33-E33,""),"")</f>
        <v/>
      </c>
      <c r="J33" s="31" t="n"/>
      <c r="K33" s="31" t="n"/>
    </row>
    <row r="34" ht="19.5" customHeight="1" s="90">
      <c r="A34" s="17">
        <f t="array" ref="A34">IFERROR(INDEX('Matched Pairs'!A:A,ROW()-1),"")</f>
        <v/>
      </c>
      <c r="B34" s="17">
        <f t="array" ref="B34">IFERROR(INDEX('Matched Pairs'!B:B,ROW()-1),"")</f>
        <v/>
      </c>
      <c r="C34" s="44">
        <f t="array" ref="C34">IFERROR(INDEX('Matched Pairs'!H:H,ROW()-1),"")</f>
        <v/>
      </c>
      <c r="D34" s="52" t="n"/>
      <c r="E34" s="49">
        <f>IFERROR(IF(AND(C34&lt;&gt;"",D34&lt;&gt;""),(C34-D34)/C34,""),"")</f>
        <v/>
      </c>
      <c r="F34" s="37">
        <f t="array" ref="F34">IFERROR(INDEX('Matched Pairs'!I:I,ROW()-1),"")</f>
        <v/>
      </c>
      <c r="G34" s="53" t="n"/>
      <c r="H34" s="51">
        <f>IFERROR(IF(AND(F34&lt;&gt;"",G34&lt;&gt;""),(F34-G34)/F34,""),"")</f>
        <v/>
      </c>
      <c r="I34" s="13">
        <f>IFERROR(IF(AND(E34&lt;&gt;"",H34&lt;&gt;""),H34-E34,""),"")</f>
        <v/>
      </c>
      <c r="J34" s="31" t="n"/>
      <c r="K34" s="31" t="n"/>
    </row>
    <row r="35" ht="19.5" customHeight="1" s="90">
      <c r="A35" s="17">
        <f t="array" ref="A35">IFERROR(INDEX('Matched Pairs'!A:A,ROW()-1),"")</f>
        <v/>
      </c>
      <c r="B35" s="17">
        <f t="array" ref="B35">IFERROR(INDEX('Matched Pairs'!B:B,ROW()-1),"")</f>
        <v/>
      </c>
      <c r="C35" s="44">
        <f t="array" ref="C35">IFERROR(INDEX('Matched Pairs'!H:H,ROW()-1),"")</f>
        <v/>
      </c>
      <c r="D35" s="52" t="n"/>
      <c r="E35" s="49">
        <f>IFERROR(IF(AND(C35&lt;&gt;"",D35&lt;&gt;""),(C35-D35)/C35,""),"")</f>
        <v/>
      </c>
      <c r="F35" s="37">
        <f t="array" ref="F35">IFERROR(INDEX('Matched Pairs'!I:I,ROW()-1),"")</f>
        <v/>
      </c>
      <c r="G35" s="53" t="n"/>
      <c r="H35" s="51">
        <f>IFERROR(IF(AND(F35&lt;&gt;"",G35&lt;&gt;""),(F35-G35)/F35,""),"")</f>
        <v/>
      </c>
      <c r="I35" s="13">
        <f>IFERROR(IF(AND(E35&lt;&gt;"",H35&lt;&gt;""),H35-E35,""),"")</f>
        <v/>
      </c>
      <c r="J35" s="31" t="n"/>
      <c r="K35" s="31" t="n"/>
    </row>
    <row r="36" ht="19.5" customHeight="1" s="90">
      <c r="A36" s="17">
        <f t="array" ref="A36">IFERROR(INDEX('Matched Pairs'!A:A,ROW()-1),"")</f>
        <v/>
      </c>
      <c r="B36" s="17">
        <f t="array" ref="B36">IFERROR(INDEX('Matched Pairs'!B:B,ROW()-1),"")</f>
        <v/>
      </c>
      <c r="C36" s="44">
        <f t="array" ref="C36">IFERROR(INDEX('Matched Pairs'!H:H,ROW()-1),"")</f>
        <v/>
      </c>
      <c r="D36" s="52" t="n"/>
      <c r="E36" s="49">
        <f>IFERROR(IF(AND(C36&lt;&gt;"",D36&lt;&gt;""),(C36-D36)/C36,""),"")</f>
        <v/>
      </c>
      <c r="F36" s="37">
        <f t="array" ref="F36">IFERROR(INDEX('Matched Pairs'!I:I,ROW()-1),"")</f>
        <v/>
      </c>
      <c r="G36" s="53" t="n"/>
      <c r="H36" s="51">
        <f>IFERROR(IF(AND(F36&lt;&gt;"",G36&lt;&gt;""),(F36-G36)/F36,""),"")</f>
        <v/>
      </c>
      <c r="I36" s="13">
        <f>IFERROR(IF(AND(E36&lt;&gt;"",H36&lt;&gt;""),H36-E36,""),"")</f>
        <v/>
      </c>
      <c r="J36" s="31" t="n"/>
      <c r="K36" s="31" t="n"/>
    </row>
    <row r="37" ht="19.5" customHeight="1" s="90">
      <c r="A37" s="17">
        <f t="array" ref="A37">IFERROR(INDEX('Matched Pairs'!A:A,ROW()-1),"")</f>
        <v/>
      </c>
      <c r="B37" s="17">
        <f t="array" ref="B37">IFERROR(INDEX('Matched Pairs'!B:B,ROW()-1),"")</f>
        <v/>
      </c>
      <c r="C37" s="44">
        <f t="array" ref="C37">IFERROR(INDEX('Matched Pairs'!H:H,ROW()-1),"")</f>
        <v/>
      </c>
      <c r="D37" s="52" t="n"/>
      <c r="E37" s="49">
        <f>IFERROR(IF(AND(C37&lt;&gt;"",D37&lt;&gt;""),(C37-D37)/C37,""),"")</f>
        <v/>
      </c>
      <c r="F37" s="37">
        <f t="array" ref="F37">IFERROR(INDEX('Matched Pairs'!I:I,ROW()-1),"")</f>
        <v/>
      </c>
      <c r="G37" s="53" t="n"/>
      <c r="H37" s="51">
        <f>IFERROR(IF(AND(F37&lt;&gt;"",G37&lt;&gt;""),(F37-G37)/F37,""),"")</f>
        <v/>
      </c>
      <c r="I37" s="13">
        <f>IFERROR(IF(AND(E37&lt;&gt;"",H37&lt;&gt;""),H37-E37,""),"")</f>
        <v/>
      </c>
      <c r="J37" s="31" t="n"/>
      <c r="K37" s="31" t="n"/>
    </row>
    <row r="38" ht="19.5" customHeight="1" s="90">
      <c r="A38" s="17">
        <f t="array" ref="A38">IFERROR(INDEX('Matched Pairs'!A:A,ROW()-1),"")</f>
        <v/>
      </c>
      <c r="B38" s="17">
        <f t="array" ref="B38">IFERROR(INDEX('Matched Pairs'!B:B,ROW()-1),"")</f>
        <v/>
      </c>
      <c r="C38" s="44">
        <f t="array" ref="C38">IFERROR(INDEX('Matched Pairs'!H:H,ROW()-1),"")</f>
        <v/>
      </c>
      <c r="D38" s="52" t="n"/>
      <c r="E38" s="49">
        <f>IFERROR(IF(AND(C38&lt;&gt;"",D38&lt;&gt;""),(C38-D38)/C38,""),"")</f>
        <v/>
      </c>
      <c r="F38" s="37">
        <f t="array" ref="F38">IFERROR(INDEX('Matched Pairs'!I:I,ROW()-1),"")</f>
        <v/>
      </c>
      <c r="G38" s="53" t="n"/>
      <c r="H38" s="51">
        <f>IFERROR(IF(AND(F38&lt;&gt;"",G38&lt;&gt;""),(F38-G38)/F38,""),"")</f>
        <v/>
      </c>
      <c r="I38" s="13">
        <f>IFERROR(IF(AND(E38&lt;&gt;"",H38&lt;&gt;""),H38-E38,""),"")</f>
        <v/>
      </c>
      <c r="J38" s="31" t="n"/>
      <c r="K38" s="31" t="n"/>
    </row>
    <row r="39" ht="19.5" customHeight="1" s="90">
      <c r="A39" s="17">
        <f t="array" ref="A39">IFERROR(INDEX('Matched Pairs'!A:A,ROW()-1),"")</f>
        <v/>
      </c>
      <c r="B39" s="17">
        <f t="array" ref="B39">IFERROR(INDEX('Matched Pairs'!B:B,ROW()-1),"")</f>
        <v/>
      </c>
      <c r="C39" s="44">
        <f t="array" ref="C39">IFERROR(INDEX('Matched Pairs'!H:H,ROW()-1),"")</f>
        <v/>
      </c>
      <c r="D39" s="52" t="n"/>
      <c r="E39" s="49">
        <f>IFERROR(IF(AND(C39&lt;&gt;"",D39&lt;&gt;""),(C39-D39)/C39,""),"")</f>
        <v/>
      </c>
      <c r="F39" s="37">
        <f t="array" ref="F39">IFERROR(INDEX('Matched Pairs'!I:I,ROW()-1),"")</f>
        <v/>
      </c>
      <c r="G39" s="53" t="n"/>
      <c r="H39" s="51">
        <f>IFERROR(IF(AND(F39&lt;&gt;"",G39&lt;&gt;""),(F39-G39)/F39,""),"")</f>
        <v/>
      </c>
      <c r="I39" s="13">
        <f>IFERROR(IF(AND(E39&lt;&gt;"",H39&lt;&gt;""),H39-E39,""),"")</f>
        <v/>
      </c>
      <c r="J39" s="31" t="n"/>
      <c r="K39" s="31" t="n"/>
    </row>
    <row r="40" ht="19.5" customHeight="1" s="90">
      <c r="A40" s="17">
        <f t="array" ref="A40">IFERROR(INDEX('Matched Pairs'!A:A,ROW()-1),"")</f>
        <v/>
      </c>
      <c r="B40" s="17">
        <f t="array" ref="B40">IFERROR(INDEX('Matched Pairs'!B:B,ROW()-1),"")</f>
        <v/>
      </c>
      <c r="C40" s="44">
        <f t="array" ref="C40">IFERROR(INDEX('Matched Pairs'!H:H,ROW()-1),"")</f>
        <v/>
      </c>
      <c r="D40" s="52" t="n"/>
      <c r="E40" s="49">
        <f>IFERROR(IF(AND(C40&lt;&gt;"",D40&lt;&gt;""),(C40-D40)/C40,""),"")</f>
        <v/>
      </c>
      <c r="F40" s="37">
        <f t="array" ref="F40">IFERROR(INDEX('Matched Pairs'!I:I,ROW()-1),"")</f>
        <v/>
      </c>
      <c r="G40" s="53" t="n"/>
      <c r="H40" s="51">
        <f>IFERROR(IF(AND(F40&lt;&gt;"",G40&lt;&gt;""),(F40-G40)/F40,""),"")</f>
        <v/>
      </c>
      <c r="I40" s="13">
        <f>IFERROR(IF(AND(E40&lt;&gt;"",H40&lt;&gt;""),H40-E40,""),"")</f>
        <v/>
      </c>
      <c r="J40" s="31" t="n"/>
      <c r="K40" s="31" t="n"/>
    </row>
    <row r="41" ht="19.5" customHeight="1" s="90">
      <c r="A41" s="17">
        <f t="array" ref="A41">IFERROR(INDEX('Matched Pairs'!A:A,ROW()-1),"")</f>
        <v/>
      </c>
      <c r="B41" s="17">
        <f t="array" ref="B41">IFERROR(INDEX('Matched Pairs'!B:B,ROW()-1),"")</f>
        <v/>
      </c>
      <c r="C41" s="44">
        <f t="array" ref="C41">IFERROR(INDEX('Matched Pairs'!H:H,ROW()-1),"")</f>
        <v/>
      </c>
      <c r="D41" s="52" t="n"/>
      <c r="E41" s="49">
        <f>IFERROR(IF(AND(C41&lt;&gt;"",D41&lt;&gt;""),(C41-D41)/C41,""),"")</f>
        <v/>
      </c>
      <c r="F41" s="37">
        <f t="array" ref="F41">IFERROR(INDEX('Matched Pairs'!I:I,ROW()-1),"")</f>
        <v/>
      </c>
      <c r="G41" s="53" t="n"/>
      <c r="H41" s="51">
        <f>IFERROR(IF(AND(F41&lt;&gt;"",G41&lt;&gt;""),(F41-G41)/F41,""),"")</f>
        <v/>
      </c>
      <c r="I41" s="13">
        <f>IFERROR(IF(AND(E41&lt;&gt;"",H41&lt;&gt;""),H41-E41,""),"")</f>
        <v/>
      </c>
      <c r="J41" s="31" t="n"/>
      <c r="K41" s="31" t="n"/>
    </row>
    <row r="42" ht="19.5" customHeight="1" s="90">
      <c r="A42" s="17">
        <f t="array" ref="A42">IFERROR(INDEX('Matched Pairs'!A:A,ROW()-1),"")</f>
        <v/>
      </c>
      <c r="B42" s="17">
        <f t="array" ref="B42">IFERROR(INDEX('Matched Pairs'!B:B,ROW()-1),"")</f>
        <v/>
      </c>
      <c r="C42" s="44">
        <f t="array" ref="C42">IFERROR(INDEX('Matched Pairs'!H:H,ROW()-1),"")</f>
        <v/>
      </c>
      <c r="D42" s="52" t="n"/>
      <c r="E42" s="49">
        <f>IFERROR(IF(AND(C42&lt;&gt;"",D42&lt;&gt;""),(C42-D42)/C42,""),"")</f>
        <v/>
      </c>
      <c r="F42" s="37">
        <f t="array" ref="F42">IFERROR(INDEX('Matched Pairs'!I:I,ROW()-1),"")</f>
        <v/>
      </c>
      <c r="G42" s="53" t="n"/>
      <c r="H42" s="51">
        <f>IFERROR(IF(AND(F42&lt;&gt;"",G42&lt;&gt;""),(F42-G42)/F42,""),"")</f>
        <v/>
      </c>
      <c r="I42" s="13">
        <f>IFERROR(IF(AND(E42&lt;&gt;"",H42&lt;&gt;""),H42-E42,""),"")</f>
        <v/>
      </c>
      <c r="J42" s="31" t="n"/>
      <c r="K42" s="31" t="n"/>
    </row>
    <row r="43" ht="19.5" customHeight="1" s="90">
      <c r="A43" s="17">
        <f t="array" ref="A43">IFERROR(INDEX('Matched Pairs'!A:A,ROW()-1),"")</f>
        <v/>
      </c>
      <c r="B43" s="17">
        <f t="array" ref="B43">IFERROR(INDEX('Matched Pairs'!B:B,ROW()-1),"")</f>
        <v/>
      </c>
      <c r="C43" s="44">
        <f t="array" ref="C43">IFERROR(INDEX('Matched Pairs'!H:H,ROW()-1),"")</f>
        <v/>
      </c>
      <c r="D43" s="52" t="n"/>
      <c r="E43" s="49">
        <f>IFERROR(IF(AND(C43&lt;&gt;"",D43&lt;&gt;""),(C43-D43)/C43,""),"")</f>
        <v/>
      </c>
      <c r="F43" s="37">
        <f t="array" ref="F43">IFERROR(INDEX('Matched Pairs'!I:I,ROW()-1),"")</f>
        <v/>
      </c>
      <c r="G43" s="53" t="n"/>
      <c r="H43" s="51">
        <f>IFERROR(IF(AND(F43&lt;&gt;"",G43&lt;&gt;""),(F43-G43)/F43,""),"")</f>
        <v/>
      </c>
      <c r="I43" s="13">
        <f>IFERROR(IF(AND(E43&lt;&gt;"",H43&lt;&gt;""),H43-E43,""),"")</f>
        <v/>
      </c>
      <c r="J43" s="31" t="n"/>
      <c r="K43" s="31" t="n"/>
    </row>
    <row r="44" ht="19.5" customHeight="1" s="90">
      <c r="A44" s="17">
        <f t="array" ref="A44">IFERROR(INDEX('Matched Pairs'!A:A,ROW()-1),"")</f>
        <v/>
      </c>
      <c r="B44" s="17">
        <f t="array" ref="B44">IFERROR(INDEX('Matched Pairs'!B:B,ROW()-1),"")</f>
        <v/>
      </c>
      <c r="C44" s="44">
        <f t="array" ref="C44">IFERROR(INDEX('Matched Pairs'!H:H,ROW()-1),"")</f>
        <v/>
      </c>
      <c r="D44" s="52" t="n"/>
      <c r="E44" s="49">
        <f>IFERROR(IF(AND(C44&lt;&gt;"",D44&lt;&gt;""),(C44-D44)/C44,""),"")</f>
        <v/>
      </c>
      <c r="F44" s="37">
        <f t="array" ref="F44">IFERROR(INDEX('Matched Pairs'!I:I,ROW()-1),"")</f>
        <v/>
      </c>
      <c r="G44" s="53" t="n"/>
      <c r="H44" s="51">
        <f>IFERROR(IF(AND(F44&lt;&gt;"",G44&lt;&gt;""),(F44-G44)/F44,""),"")</f>
        <v/>
      </c>
      <c r="I44" s="13">
        <f>IFERROR(IF(AND(E44&lt;&gt;"",H44&lt;&gt;""),H44-E44,""),"")</f>
        <v/>
      </c>
      <c r="J44" s="31" t="n"/>
      <c r="K44" s="31" t="n"/>
    </row>
    <row r="45" ht="19.5" customHeight="1" s="90">
      <c r="A45" s="17">
        <f t="array" ref="A45">IFERROR(INDEX('Matched Pairs'!A:A,ROW()-1),"")</f>
        <v/>
      </c>
      <c r="B45" s="17">
        <f t="array" ref="B45">IFERROR(INDEX('Matched Pairs'!B:B,ROW()-1),"")</f>
        <v/>
      </c>
      <c r="C45" s="44">
        <f t="array" ref="C45">IFERROR(INDEX('Matched Pairs'!H:H,ROW()-1),"")</f>
        <v/>
      </c>
      <c r="D45" s="52" t="n"/>
      <c r="E45" s="49">
        <f>IFERROR(IF(AND(C45&lt;&gt;"",D45&lt;&gt;""),(C45-D45)/C45,""),"")</f>
        <v/>
      </c>
      <c r="F45" s="37">
        <f t="array" ref="F45">IFERROR(INDEX('Matched Pairs'!I:I,ROW()-1),"")</f>
        <v/>
      </c>
      <c r="G45" s="53" t="n"/>
      <c r="H45" s="51">
        <f>IFERROR(IF(AND(F45&lt;&gt;"",G45&lt;&gt;""),(F45-G45)/F45,""),"")</f>
        <v/>
      </c>
      <c r="I45" s="13">
        <f>IFERROR(IF(AND(E45&lt;&gt;"",H45&lt;&gt;""),H45-E45,""),"")</f>
        <v/>
      </c>
      <c r="J45" s="31" t="n"/>
      <c r="K45" s="31" t="n"/>
    </row>
    <row r="46" ht="19.5" customHeight="1" s="90">
      <c r="A46" s="17">
        <f t="array" ref="A46">IFERROR(INDEX('Matched Pairs'!A:A,ROW()-1),"")</f>
        <v/>
      </c>
      <c r="B46" s="17">
        <f t="array" ref="B46">IFERROR(INDEX('Matched Pairs'!B:B,ROW()-1),"")</f>
        <v/>
      </c>
      <c r="C46" s="44">
        <f t="array" ref="C46">IFERROR(INDEX('Matched Pairs'!H:H,ROW()-1),"")</f>
        <v/>
      </c>
      <c r="D46" s="52" t="n"/>
      <c r="E46" s="49">
        <f>IFERROR(IF(AND(C46&lt;&gt;"",D46&lt;&gt;""),(C46-D46)/C46,""),"")</f>
        <v/>
      </c>
      <c r="F46" s="37">
        <f t="array" ref="F46">IFERROR(INDEX('Matched Pairs'!I:I,ROW()-1),"")</f>
        <v/>
      </c>
      <c r="G46" s="53" t="n"/>
      <c r="H46" s="51">
        <f>IFERROR(IF(AND(F46&lt;&gt;"",G46&lt;&gt;""),(F46-G46)/F46,""),"")</f>
        <v/>
      </c>
      <c r="I46" s="13">
        <f>IFERROR(IF(AND(E46&lt;&gt;"",H46&lt;&gt;""),H46-E46,""),"")</f>
        <v/>
      </c>
      <c r="J46" s="31" t="n"/>
      <c r="K46" s="31" t="n"/>
    </row>
    <row r="47" ht="19.5" customHeight="1" s="90">
      <c r="A47" s="17">
        <f t="array" ref="A47">IFERROR(INDEX('Matched Pairs'!A:A,ROW()-1),"")</f>
        <v/>
      </c>
      <c r="B47" s="17">
        <f t="array" ref="B47">IFERROR(INDEX('Matched Pairs'!B:B,ROW()-1),"")</f>
        <v/>
      </c>
      <c r="C47" s="44">
        <f t="array" ref="C47">IFERROR(INDEX('Matched Pairs'!H:H,ROW()-1),"")</f>
        <v/>
      </c>
      <c r="D47" s="52" t="n"/>
      <c r="E47" s="49">
        <f>IFERROR(IF(AND(C47&lt;&gt;"",D47&lt;&gt;""),(C47-D47)/C47,""),"")</f>
        <v/>
      </c>
      <c r="F47" s="37">
        <f t="array" ref="F47">IFERROR(INDEX('Matched Pairs'!I:I,ROW()-1),"")</f>
        <v/>
      </c>
      <c r="G47" s="53" t="n"/>
      <c r="H47" s="51">
        <f>IFERROR(IF(AND(F47&lt;&gt;"",G47&lt;&gt;""),(F47-G47)/F47,""),"")</f>
        <v/>
      </c>
      <c r="I47" s="13">
        <f>IFERROR(IF(AND(E47&lt;&gt;"",H47&lt;&gt;""),H47-E47,""),"")</f>
        <v/>
      </c>
      <c r="J47" s="31" t="n"/>
      <c r="K47" s="31" t="n"/>
    </row>
    <row r="48" ht="19.5" customHeight="1" s="90">
      <c r="A48" s="17">
        <f t="array" ref="A48">IFERROR(INDEX('Matched Pairs'!A:A,ROW()-1),"")</f>
        <v/>
      </c>
      <c r="B48" s="17">
        <f t="array" ref="B48">IFERROR(INDEX('Matched Pairs'!B:B,ROW()-1),"")</f>
        <v/>
      </c>
      <c r="C48" s="44">
        <f t="array" ref="C48">IFERROR(INDEX('Matched Pairs'!H:H,ROW()-1),"")</f>
        <v/>
      </c>
      <c r="D48" s="52" t="n"/>
      <c r="E48" s="49">
        <f>IFERROR(IF(AND(C48&lt;&gt;"",D48&lt;&gt;""),(C48-D48)/C48,""),"")</f>
        <v/>
      </c>
      <c r="F48" s="37">
        <f t="array" ref="F48">IFERROR(INDEX('Matched Pairs'!I:I,ROW()-1),"")</f>
        <v/>
      </c>
      <c r="G48" s="53" t="n"/>
      <c r="H48" s="51">
        <f>IFERROR(IF(AND(F48&lt;&gt;"",G48&lt;&gt;""),(F48-G48)/F48,""),"")</f>
        <v/>
      </c>
      <c r="I48" s="13">
        <f>IFERROR(IF(AND(E48&lt;&gt;"",H48&lt;&gt;""),H48-E48,""),"")</f>
        <v/>
      </c>
      <c r="J48" s="31" t="n"/>
      <c r="K48" s="31" t="n"/>
    </row>
    <row r="49" ht="19.5" customHeight="1" s="90">
      <c r="A49" s="17">
        <f t="array" ref="A49">IFERROR(INDEX('Matched Pairs'!A:A,ROW()-1),"")</f>
        <v/>
      </c>
      <c r="B49" s="17">
        <f t="array" ref="B49">IFERROR(INDEX('Matched Pairs'!B:B,ROW()-1),"")</f>
        <v/>
      </c>
      <c r="C49" s="44">
        <f t="array" ref="C49">IFERROR(INDEX('Matched Pairs'!H:H,ROW()-1),"")</f>
        <v/>
      </c>
      <c r="D49" s="52" t="n"/>
      <c r="E49" s="49">
        <f>IFERROR(IF(AND(C49&lt;&gt;"",D49&lt;&gt;""),(C49-D49)/C49,""),"")</f>
        <v/>
      </c>
      <c r="F49" s="37">
        <f t="array" ref="F49">IFERROR(INDEX('Matched Pairs'!I:I,ROW()-1),"")</f>
        <v/>
      </c>
      <c r="G49" s="53" t="n"/>
      <c r="H49" s="51">
        <f>IFERROR(IF(AND(F49&lt;&gt;"",G49&lt;&gt;""),(F49-G49)/F49,""),"")</f>
        <v/>
      </c>
      <c r="I49" s="13">
        <f>IFERROR(IF(AND(E49&lt;&gt;"",H49&lt;&gt;""),H49-E49,""),"")</f>
        <v/>
      </c>
      <c r="J49" s="31" t="n"/>
      <c r="K49" s="31" t="n"/>
    </row>
    <row r="50" ht="19.5" customHeight="1" s="90">
      <c r="A50" s="17">
        <f t="array" ref="A50">IFERROR(INDEX('Matched Pairs'!A:A,ROW()-1),"")</f>
        <v/>
      </c>
      <c r="B50" s="17">
        <f t="array" ref="B50">IFERROR(INDEX('Matched Pairs'!B:B,ROW()-1),"")</f>
        <v/>
      </c>
      <c r="C50" s="44">
        <f t="array" ref="C50">IFERROR(INDEX('Matched Pairs'!H:H,ROW()-1),"")</f>
        <v/>
      </c>
      <c r="D50" s="52" t="n"/>
      <c r="E50" s="49">
        <f>IFERROR(IF(AND(C50&lt;&gt;"",D50&lt;&gt;""),(C50-D50)/C50,""),"")</f>
        <v/>
      </c>
      <c r="F50" s="37">
        <f t="array" ref="F50">IFERROR(INDEX('Matched Pairs'!I:I,ROW()-1),"")</f>
        <v/>
      </c>
      <c r="G50" s="53" t="n"/>
      <c r="H50" s="51">
        <f>IFERROR(IF(AND(F50&lt;&gt;"",G50&lt;&gt;""),(F50-G50)/F50,""),"")</f>
        <v/>
      </c>
      <c r="I50" s="13">
        <f>IFERROR(IF(AND(E50&lt;&gt;"",H50&lt;&gt;""),H50-E50,""),"")</f>
        <v/>
      </c>
      <c r="J50" s="31" t="n"/>
      <c r="K50" s="31" t="n"/>
    </row>
    <row r="51" ht="19.5" customHeight="1" s="90">
      <c r="A51" s="17">
        <f t="array" ref="A51">IFERROR(INDEX('Matched Pairs'!A:A,ROW()-1),"")</f>
        <v/>
      </c>
      <c r="B51" s="17">
        <f t="array" ref="B51">IFERROR(INDEX('Matched Pairs'!B:B,ROW()-1),"")</f>
        <v/>
      </c>
      <c r="C51" s="44">
        <f t="array" ref="C51">IFERROR(INDEX('Matched Pairs'!H:H,ROW()-1),"")</f>
        <v/>
      </c>
      <c r="D51" s="52" t="n"/>
      <c r="E51" s="49">
        <f>IFERROR(IF(AND(C51&lt;&gt;"",D51&lt;&gt;""),(C51-D51)/C51,""),"")</f>
        <v/>
      </c>
      <c r="F51" s="37">
        <f t="array" ref="F51">IFERROR(INDEX('Matched Pairs'!I:I,ROW()-1),"")</f>
        <v/>
      </c>
      <c r="G51" s="53" t="n"/>
      <c r="H51" s="51">
        <f>IFERROR(IF(AND(F51&lt;&gt;"",G51&lt;&gt;""),(F51-G51)/F51,""),"")</f>
        <v/>
      </c>
      <c r="I51" s="13">
        <f>IFERROR(IF(AND(E51&lt;&gt;"",H51&lt;&gt;""),H51-E51,""),"")</f>
        <v/>
      </c>
      <c r="J51" s="31" t="n"/>
      <c r="K51" s="31" t="n"/>
    </row>
    <row r="52" ht="19.5" customHeight="1" s="90">
      <c r="A52" s="17">
        <f t="array" ref="A52">IFERROR(INDEX('Matched Pairs'!A:A,ROW()-1),"")</f>
        <v/>
      </c>
      <c r="B52" s="17">
        <f t="array" ref="B52">IFERROR(INDEX('Matched Pairs'!B:B,ROW()-1),"")</f>
        <v/>
      </c>
      <c r="C52" s="44">
        <f t="array" ref="C52">IFERROR(INDEX('Matched Pairs'!H:H,ROW()-1),"")</f>
        <v/>
      </c>
      <c r="D52" s="52" t="n"/>
      <c r="E52" s="49">
        <f>IFERROR(IF(AND(C52&lt;&gt;"",D52&lt;&gt;""),(C52-D52)/C52,""),"")</f>
        <v/>
      </c>
      <c r="F52" s="37">
        <f t="array" ref="F52">IFERROR(INDEX('Matched Pairs'!I:I,ROW()-1),"")</f>
        <v/>
      </c>
      <c r="G52" s="53" t="n"/>
      <c r="H52" s="51">
        <f>IFERROR(IF(AND(F52&lt;&gt;"",G52&lt;&gt;""),(F52-G52)/F52,""),"")</f>
        <v/>
      </c>
      <c r="I52" s="13">
        <f>IFERROR(IF(AND(E52&lt;&gt;"",H52&lt;&gt;""),H52-E52,""),"")</f>
        <v/>
      </c>
      <c r="J52" s="31" t="n"/>
      <c r="K52" s="31" t="n"/>
    </row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A1:K1"/>
  </mergeCells>
  <conditionalFormatting sqref="I3:I52">
    <cfRule type="cellIs" priority="1" operator="greaterThan" dxfId="4">
      <formula>0</formula>
    </cfRule>
    <cfRule type="cellIs" priority="2" operator="lessThan" dxfId="5">
      <formula>0</formula>
    </cfRule>
  </conditionalFormatting>
  <hyperlinks>
    <hyperlink xmlns:r="http://schemas.openxmlformats.org/officeDocument/2006/relationships" ref="J8" r:id="rId1"/>
    <hyperlink xmlns:r="http://schemas.openxmlformats.org/officeDocument/2006/relationships" ref="J9" r:id="rId2"/>
    <hyperlink xmlns:r="http://schemas.openxmlformats.org/officeDocument/2006/relationships" ref="K9" r:id="rId3"/>
    <hyperlink xmlns:r="http://schemas.openxmlformats.org/officeDocument/2006/relationships" ref="J10" r:id="rId4"/>
    <hyperlink xmlns:r="http://schemas.openxmlformats.org/officeDocument/2006/relationships" ref="K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6" r:id="rId9"/>
    <hyperlink xmlns:r="http://schemas.openxmlformats.org/officeDocument/2006/relationships" ref="K16" r:id="rId10"/>
    <hyperlink xmlns:r="http://schemas.openxmlformats.org/officeDocument/2006/relationships" ref="J17" r:id="rId11"/>
    <hyperlink xmlns:r="http://schemas.openxmlformats.org/officeDocument/2006/relationships" ref="K17" r:id="rId12"/>
    <hyperlink xmlns:r="http://schemas.openxmlformats.org/officeDocument/2006/relationships" ref="J18" r:id="rId13"/>
    <hyperlink xmlns:r="http://schemas.openxmlformats.org/officeDocument/2006/relationships" ref="J20" r:id="rId14"/>
    <hyperlink xmlns:r="http://schemas.openxmlformats.org/officeDocument/2006/relationships" ref="K22" r:id="rId15"/>
    <hyperlink xmlns:r="http://schemas.openxmlformats.org/officeDocument/2006/relationships" ref="J23" r:id="rId16"/>
    <hyperlink xmlns:r="http://schemas.openxmlformats.org/officeDocument/2006/relationships" ref="K23" r:id="rId17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1A3A5C"/>
    <outlinePr summaryBelow="1" summaryRight="1"/>
    <pageSetUpPr/>
  </sheetPr>
  <dimension ref="A1:K203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90" min="1" max="1"/>
    <col width="11.86" customWidth="1" style="90" min="2" max="2"/>
    <col width="18" customWidth="1" style="90" min="3" max="3"/>
    <col width="14" customWidth="1" style="90" min="4" max="5"/>
    <col width="12" customWidth="1" style="90" min="6" max="6"/>
    <col width="10" customWidth="1" style="90" min="7" max="7"/>
    <col width="14" customWidth="1" style="90" min="8" max="9"/>
    <col width="42" customWidth="1" style="90" min="10" max="10"/>
    <col width="8.710000000000001" customWidth="1" style="90" min="11" max="26"/>
  </cols>
  <sheetData>
    <row r="1" ht="31.5" customHeight="1" s="90">
      <c r="A1" s="92" t="inlineStr">
        <is>
          <t>MANTECO PRICE RESILIENCE — Stage 4: Resale Tracker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</row>
    <row r="2" ht="36" customHeight="1" s="90">
      <c r="A2" s="57" t="inlineStr">
        <is>
          <t>Pair ID</t>
        </is>
      </c>
      <c r="B2" s="57" t="inlineStr">
        <is>
          <t>Side
(M/C)</t>
        </is>
      </c>
      <c r="C2" s="57" t="inlineStr">
        <is>
          <t>Platform</t>
        </is>
      </c>
      <c r="D2" s="57" t="inlineStr">
        <is>
          <t>Original
Retail ($)</t>
        </is>
      </c>
      <c r="E2" s="57" t="inlineStr">
        <is>
          <t>Resale
Price ($)</t>
        </is>
      </c>
      <c r="F2" s="57" t="inlineStr">
        <is>
          <t>Residual %</t>
        </is>
      </c>
      <c r="G2" s="57" t="inlineStr">
        <is>
          <t>Age
(yrs)</t>
        </is>
      </c>
      <c r="H2" s="57" t="inlineStr">
        <is>
          <t>Condition</t>
        </is>
      </c>
      <c r="I2" s="57" t="inlineStr">
        <is>
          <t>Listing Date</t>
        </is>
      </c>
      <c r="J2" s="57" t="inlineStr">
        <is>
          <t>Listing URL</t>
        </is>
      </c>
      <c r="K2" s="34" t="inlineStr">
        <is>
          <t>NOTE</t>
        </is>
      </c>
    </row>
    <row r="3" ht="30.75" customHeight="1" s="90">
      <c r="A3" s="58" t="inlineStr">
        <is>
          <t>PA01</t>
        </is>
      </c>
      <c r="B3" s="29" t="n"/>
      <c r="C3" s="30" t="n"/>
      <c r="D3" s="59" t="n"/>
      <c r="E3" s="60" t="n"/>
      <c r="F3" s="13" t="n"/>
      <c r="G3" s="30" t="n"/>
      <c r="H3" s="30" t="n"/>
      <c r="I3" s="64" t="n"/>
      <c r="J3" s="62" t="n"/>
    </row>
    <row r="4" ht="29.25" customHeight="1" s="90">
      <c r="A4" s="63" t="inlineStr">
        <is>
          <t>PA01</t>
        </is>
      </c>
      <c r="B4" s="29" t="n"/>
      <c r="C4" s="30" t="n"/>
      <c r="D4" s="60" t="n"/>
      <c r="E4" s="60" t="n"/>
      <c r="F4" s="13" t="n"/>
      <c r="G4" s="30" t="n"/>
      <c r="H4" s="30" t="n"/>
      <c r="I4" s="64" t="n"/>
      <c r="J4" s="66" t="n"/>
    </row>
    <row r="5" ht="42" customHeight="1" s="90">
      <c r="A5" s="63" t="inlineStr">
        <is>
          <t>PA02</t>
        </is>
      </c>
      <c r="B5" s="29" t="n"/>
      <c r="C5" s="30" t="n"/>
      <c r="D5" s="60" t="n"/>
      <c r="E5" s="60" t="n"/>
      <c r="F5" s="13" t="n"/>
      <c r="G5" s="30" t="n"/>
      <c r="H5" s="30" t="n"/>
      <c r="I5" s="64" t="n"/>
      <c r="J5" s="66" t="n"/>
    </row>
    <row r="6" ht="48" customHeight="1" s="90">
      <c r="A6" s="63" t="inlineStr">
        <is>
          <t>PA02</t>
        </is>
      </c>
      <c r="B6" s="29" t="n"/>
      <c r="C6" s="30" t="n"/>
      <c r="D6" s="60" t="n"/>
      <c r="E6" s="60" t="n"/>
      <c r="F6" s="13" t="n"/>
      <c r="G6" s="30" t="n"/>
      <c r="H6" s="30" t="n"/>
      <c r="I6" s="64" t="n"/>
      <c r="J6" s="66" t="n"/>
    </row>
    <row r="7">
      <c r="A7" s="63" t="inlineStr">
        <is>
          <t>PA03</t>
        </is>
      </c>
      <c r="B7" s="29" t="inlineStr">
        <is>
          <t>Manteco</t>
        </is>
      </c>
      <c r="C7" s="30" t="inlineStr">
        <is>
          <t>Vinted</t>
        </is>
      </c>
      <c r="D7" s="60" t="n">
        <v>269</v>
      </c>
      <c r="E7" s="60" t="n">
        <v>26.95</v>
      </c>
      <c r="F7" s="13">
        <f>IFERROR(IF(AND(D7&lt;&gt;"",E7&lt;&gt;""),E7/D7,""),"")</f>
        <v/>
      </c>
      <c r="G7" s="30" t="n"/>
      <c r="H7" s="30" t="inlineStr">
        <is>
          <t>Very Good</t>
        </is>
      </c>
      <c r="I7" s="30" t="n"/>
      <c r="J7" s="67" t="inlineStr">
        <is>
          <t>https://www.vinted.it/items/8630741489-cappotto-blu-taglia-l-mango</t>
        </is>
      </c>
    </row>
    <row r="8">
      <c r="A8" s="63" t="inlineStr">
        <is>
          <t>PA03</t>
        </is>
      </c>
      <c r="B8" s="29" t="n"/>
      <c r="C8" s="30" t="n"/>
      <c r="D8" s="60" t="n"/>
      <c r="E8" s="60" t="n"/>
      <c r="F8" s="13">
        <f>IFERROR(IF(AND(D8&lt;&gt;"",E8&lt;&gt;""),E8/D8,""),"")</f>
        <v/>
      </c>
      <c r="G8" s="30" t="n"/>
      <c r="H8" s="30" t="n"/>
      <c r="I8" s="30" t="n"/>
      <c r="J8" s="67" t="n"/>
    </row>
    <row r="9">
      <c r="A9" s="63" t="inlineStr">
        <is>
          <t>PA04</t>
        </is>
      </c>
      <c r="B9" s="29" t="inlineStr">
        <is>
          <t>Manteco</t>
        </is>
      </c>
      <c r="C9" s="30" t="inlineStr">
        <is>
          <t>Vinted</t>
        </is>
      </c>
      <c r="D9" s="60" t="n">
        <v>179</v>
      </c>
      <c r="E9" s="60" t="n">
        <v>47.95</v>
      </c>
      <c r="F9" s="13">
        <f>IFERROR(IF(AND(D9&lt;&gt;"",E9&lt;&gt;""),E9/D9,""),"")</f>
        <v/>
      </c>
      <c r="G9" s="30" t="n"/>
      <c r="H9" s="30" t="inlineStr">
        <is>
          <t>Excellent</t>
        </is>
      </c>
      <c r="I9" s="68" t="n"/>
      <c r="J9" s="69" t="inlineStr">
        <is>
          <t>https://www.vinted.it/items/8601853893-manteco-mantel</t>
        </is>
      </c>
    </row>
    <row r="10">
      <c r="A10" s="63" t="inlineStr">
        <is>
          <t>PA04</t>
        </is>
      </c>
      <c r="B10" s="29" t="inlineStr">
        <is>
          <t>Control</t>
        </is>
      </c>
      <c r="C10" s="30" t="inlineStr">
        <is>
          <t>Vinted</t>
        </is>
      </c>
      <c r="D10" s="60" t="n">
        <v>149</v>
      </c>
      <c r="E10" s="12" t="n">
        <v>50</v>
      </c>
      <c r="F10" s="13">
        <f>IFERROR(IF(AND(D10&lt;&gt;"",E10&lt;&gt;""),E10/D10,""),"")</f>
        <v/>
      </c>
      <c r="G10" s="30" t="n"/>
      <c r="H10" s="30" t="inlineStr">
        <is>
          <t>Excellent</t>
        </is>
      </c>
      <c r="I10" s="64" t="n"/>
      <c r="J10" s="69" t="inlineStr">
        <is>
          <t>https://www.vinted.it/items/8641427900-abrigo-estilo-masculino</t>
        </is>
      </c>
    </row>
    <row r="11">
      <c r="A11" s="63" t="inlineStr">
        <is>
          <t>PA05</t>
        </is>
      </c>
      <c r="B11" s="29" t="inlineStr">
        <is>
          <t>Manteco</t>
        </is>
      </c>
      <c r="C11" s="30" t="inlineStr">
        <is>
          <t>Vinted</t>
        </is>
      </c>
      <c r="D11" s="60">
        <f>Products!G3</f>
        <v/>
      </c>
      <c r="E11" s="12" t="n">
        <v>158</v>
      </c>
      <c r="F11" s="13">
        <f>IFERROR(IF(AND(D11&lt;&gt;"",E11&lt;&gt;""),E11/D11,""),"")</f>
        <v/>
      </c>
      <c r="G11" s="30" t="n"/>
      <c r="H11" s="30" t="inlineStr">
        <is>
          <t>Excellent</t>
        </is>
      </c>
      <c r="I11" s="64" t="n"/>
      <c r="J11" s="69" t="inlineStr">
        <is>
          <t>https://www.vinted.it/items/8141310982-manteau-long-noir-mango-en-laine-manteco-70-laine?referrer=catalog</t>
        </is>
      </c>
    </row>
    <row r="12">
      <c r="A12" s="63" t="inlineStr">
        <is>
          <t>PA05</t>
        </is>
      </c>
      <c r="B12" s="29" t="inlineStr">
        <is>
          <t>Control</t>
        </is>
      </c>
      <c r="C12" s="30" t="inlineStr">
        <is>
          <t>Vinted</t>
        </is>
      </c>
      <c r="D12" s="60">
        <f>Products!G57</f>
        <v/>
      </c>
      <c r="E12" s="12" t="n">
        <v>77</v>
      </c>
      <c r="F12" s="13">
        <f>IFERROR(IF(AND(D12&lt;&gt;"",E12&lt;&gt;""),E12/D12,""),"")</f>
        <v/>
      </c>
      <c r="G12" s="30" t="n"/>
      <c r="H12" s="30" t="inlineStr">
        <is>
          <t>Excellent</t>
        </is>
      </c>
      <c r="I12" s="64" t="n"/>
      <c r="J12" s="67" t="inlineStr">
        <is>
          <t>https://www.vinted.it/items/7394429081-cappotto-grigio-lana-spalline-taglia-sm-mango?referrer=catalog</t>
        </is>
      </c>
    </row>
    <row r="13">
      <c r="A13" s="63" t="inlineStr">
        <is>
          <t>PA06</t>
        </is>
      </c>
      <c r="B13" s="29" t="inlineStr">
        <is>
          <t>Manteco</t>
        </is>
      </c>
      <c r="C13" s="30" t="inlineStr">
        <is>
          <t>eBay</t>
        </is>
      </c>
      <c r="D13" s="60">
        <f>Products!G7</f>
        <v/>
      </c>
      <c r="E13" s="12" t="n">
        <v>220</v>
      </c>
      <c r="F13" s="13">
        <f>IFERROR(IF(AND(D13&lt;&gt;"",E13&lt;&gt;""),E13/D13,""),"")</f>
        <v/>
      </c>
      <c r="G13" s="30" t="n"/>
      <c r="H13" s="30" t="inlineStr">
        <is>
          <t>Excellent</t>
        </is>
      </c>
      <c r="I13" s="64" t="n"/>
      <c r="J13" s="69" t="inlineStr">
        <is>
          <t>https://www.ebay.com/itm/406721971293?_skw=Manteco+wool+coat+with+fur+collar+-+mango&amp;itmmeta=01KPBB38SRN21EKX9AGV7WZJPQ&amp;hash=item5eb284c45d:g:2CIAAeSwcMtpn2VT&amp;itmprp=enc%3AAQALAAABEGfYFPkwiKCW4ZNSs2u11xAEc9S1QBCZrE2GyYuEfR%2Fo%2B0MBO10SUMmL5TA60FeOxloCjaTy01VrNvaSWsPIv7019c%2F746utr1wzTDQnll2k3Jtxy3JV7T%2BOlVyWYCoMCk1s0XNzUECVa99yrahkWrvYlvFpkz%2BW4CHgV3vuk3dvJQSNsJ59iCUGsyOey6cmr9MhC2kma1VCwE%2FRWy5KzcQMsXylqjILyGBN3dmWNpcckKgphjwaZrCv6%2Bj14qGA3EPssZx%2FMJmF%2BZyEnAv455RQ75JLDRuHui2TfWdgBWdbQgj8n4v9JZE3xBHtSpi%2Fca3cjIeIeraXcxOwQ%2FZ4qD5CrsK5wh%2F0qzbEvpnKnhtM%7Ctkp%3ABk9SR4SNjeuyZw</t>
        </is>
      </c>
    </row>
    <row r="14">
      <c r="A14" s="63" t="inlineStr">
        <is>
          <t>PA06</t>
        </is>
      </c>
      <c r="B14" s="29" t="inlineStr">
        <is>
          <t>Control</t>
        </is>
      </c>
      <c r="C14" s="30" t="inlineStr">
        <is>
          <t>Vinted</t>
        </is>
      </c>
      <c r="D14" s="60">
        <f>Products!G58</f>
        <v/>
      </c>
      <c r="E14" s="12" t="n">
        <v>70</v>
      </c>
      <c r="F14" s="13">
        <f>IFERROR(IF(AND(D14&lt;&gt;"",E14&lt;&gt;""),E14/D14,""),"")</f>
        <v/>
      </c>
      <c r="G14" s="30" t="n"/>
      <c r="H14" s="30" t="inlineStr">
        <is>
          <t>Very Good</t>
        </is>
      </c>
      <c r="I14" s="64" t="n"/>
      <c r="J14" s="69" t="inlineStr">
        <is>
          <t>https://www.vinted.it/items/8088494719-cappotto-lungo-nero-mango-x-manteco-72-lana-taglia-m?referrer=catalog</t>
        </is>
      </c>
    </row>
    <row r="15">
      <c r="A15" s="63" t="inlineStr">
        <is>
          <t>PA07</t>
        </is>
      </c>
      <c r="B15" s="29" t="n"/>
      <c r="C15" s="30" t="n"/>
      <c r="D15" s="60" t="n"/>
      <c r="E15" s="12" t="n"/>
      <c r="F15" s="13" t="n"/>
      <c r="G15" s="30" t="n"/>
      <c r="H15" s="30" t="n"/>
      <c r="I15" s="30" t="n"/>
      <c r="J15" s="66" t="n"/>
      <c r="K15" s="34" t="inlineStr">
        <is>
          <t>CAN'T FIND IT</t>
        </is>
      </c>
    </row>
    <row r="16" ht="18" customHeight="1" s="90">
      <c r="A16" s="63" t="inlineStr">
        <is>
          <t>PA07</t>
        </is>
      </c>
      <c r="B16" s="29" t="n"/>
      <c r="C16" s="30" t="n"/>
      <c r="D16" s="60" t="n"/>
      <c r="E16" s="12" t="n"/>
      <c r="F16" s="13" t="n"/>
      <c r="G16" s="30" t="n"/>
      <c r="H16" s="30" t="n"/>
      <c r="I16" s="30" t="n"/>
      <c r="J16" s="66" t="n"/>
    </row>
    <row r="17">
      <c r="A17" s="63" t="inlineStr">
        <is>
          <t>PA08</t>
        </is>
      </c>
      <c r="B17" s="29" t="n"/>
      <c r="C17" s="30" t="n"/>
      <c r="D17" s="60" t="n"/>
      <c r="E17" s="12" t="n"/>
      <c r="F17" s="13" t="n"/>
      <c r="G17" s="30" t="n"/>
      <c r="H17" s="30" t="n"/>
      <c r="I17" s="30" t="n"/>
      <c r="J17" s="66" t="n"/>
    </row>
    <row r="18">
      <c r="A18" s="63" t="inlineStr">
        <is>
          <t>PA08</t>
        </is>
      </c>
      <c r="B18" s="29" t="n"/>
      <c r="C18" s="30" t="n"/>
      <c r="D18" s="60" t="n"/>
      <c r="E18" s="12" t="n"/>
      <c r="F18" s="13" t="n"/>
      <c r="G18" s="30" t="n"/>
      <c r="H18" s="30" t="n"/>
      <c r="I18" s="64" t="n"/>
      <c r="J18" s="66" t="n"/>
    </row>
    <row r="19">
      <c r="A19" s="63" t="inlineStr">
        <is>
          <t>PA09</t>
        </is>
      </c>
      <c r="B19" s="29" t="n"/>
      <c r="C19" s="30" t="n"/>
      <c r="D19" s="60" t="n"/>
      <c r="E19" s="12" t="n"/>
      <c r="F19" s="13" t="n"/>
      <c r="G19" s="30" t="n"/>
      <c r="H19" s="30" t="n"/>
      <c r="I19" s="64" t="n"/>
      <c r="J19" s="66" t="n"/>
    </row>
    <row r="20">
      <c r="A20" s="63" t="inlineStr">
        <is>
          <t>PA09</t>
        </is>
      </c>
      <c r="B20" s="29" t="n"/>
      <c r="C20" s="30" t="n"/>
      <c r="D20" s="60" t="n"/>
      <c r="E20" s="12" t="n"/>
      <c r="F20" s="13" t="n"/>
      <c r="G20" s="30" t="n"/>
      <c r="H20" s="30" t="n"/>
      <c r="I20" s="30" t="n"/>
      <c r="J20" s="66" t="n"/>
    </row>
    <row r="21">
      <c r="A21" s="63" t="inlineStr">
        <is>
          <t>PA10</t>
        </is>
      </c>
      <c r="B21" s="29" t="n"/>
      <c r="C21" s="30" t="n"/>
      <c r="D21" s="60" t="n"/>
      <c r="E21" s="12" t="n"/>
      <c r="F21" s="13" t="n"/>
      <c r="G21" s="30" t="n"/>
      <c r="H21" s="30" t="n"/>
      <c r="I21" s="64" t="n"/>
      <c r="J21" s="66" t="n"/>
    </row>
    <row r="22">
      <c r="A22" s="63" t="inlineStr">
        <is>
          <t>PA10</t>
        </is>
      </c>
      <c r="B22" s="29" t="n"/>
      <c r="C22" s="30" t="n"/>
      <c r="D22" s="60" t="n"/>
      <c r="E22" s="12" t="n"/>
      <c r="F22" s="13" t="n"/>
      <c r="G22" s="30" t="n"/>
      <c r="H22" s="30" t="n"/>
      <c r="I22" s="30" t="n"/>
      <c r="J22" s="66" t="n"/>
    </row>
    <row r="23" ht="18" customHeight="1" s="90">
      <c r="A23" s="63" t="inlineStr">
        <is>
          <t>PA11</t>
        </is>
      </c>
      <c r="B23" s="29" t="inlineStr">
        <is>
          <t>Manteco</t>
        </is>
      </c>
      <c r="C23" s="30" t="inlineStr">
        <is>
          <t>Vestiaire Collective</t>
        </is>
      </c>
      <c r="D23" s="60" t="n">
        <v>299</v>
      </c>
      <c r="E23" s="12" t="n">
        <v>179</v>
      </c>
      <c r="F23" s="13">
        <f>IFERROR(IF(AND(D23&lt;&gt;"",E23&lt;&gt;""),E23/D23,""),"")</f>
        <v/>
      </c>
      <c r="G23" s="30" t="n"/>
      <c r="H23" s="30" t="inlineStr">
        <is>
          <t>Excellent</t>
        </is>
      </c>
      <c r="I23" s="30" t="n"/>
      <c r="J23" s="69" t="inlineStr">
        <is>
          <t>https://it.vestiairecollective.com/donna-abbigliamento/cappotti/cos/cappotti-cos-marina-lana-62870779.shtml</t>
        </is>
      </c>
    </row>
    <row r="24">
      <c r="A24" s="63" t="inlineStr">
        <is>
          <t>PA11</t>
        </is>
      </c>
      <c r="B24" s="29" t="inlineStr">
        <is>
          <t>Control</t>
        </is>
      </c>
      <c r="C24" s="30" t="inlineStr">
        <is>
          <t>Vinted</t>
        </is>
      </c>
      <c r="D24" s="60" t="n">
        <v>299</v>
      </c>
      <c r="E24" s="12" t="n">
        <v>155</v>
      </c>
      <c r="F24" s="13">
        <f>IFERROR(IF(AND(D24&lt;&gt;"",E24&lt;&gt;""),E24/D24,""),"")</f>
        <v/>
      </c>
      <c r="G24" s="30" t="n"/>
      <c r="H24" s="30" t="inlineStr">
        <is>
          <t>Excellent</t>
        </is>
      </c>
      <c r="I24" s="64" t="n"/>
      <c r="J24" s="69" t="inlineStr">
        <is>
          <t>https://www.vinted.co.uk/items/7752876217-cos-oversized-double-breasted-wool-coat?utm_source=chatgpt.com</t>
        </is>
      </c>
    </row>
    <row r="25" ht="18" customHeight="1" s="90">
      <c r="A25" s="63" t="inlineStr">
        <is>
          <t>PA12</t>
        </is>
      </c>
      <c r="B25" s="29" t="n"/>
      <c r="C25" s="30" t="n"/>
      <c r="D25" s="60" t="n"/>
      <c r="E25" s="12" t="n"/>
      <c r="F25" s="13" t="n"/>
      <c r="G25" s="30" t="n"/>
      <c r="H25" s="30" t="n"/>
      <c r="I25" s="64" t="n"/>
      <c r="J25" s="66" t="n"/>
    </row>
    <row r="26">
      <c r="A26" s="63" t="inlineStr">
        <is>
          <t>PA12</t>
        </is>
      </c>
      <c r="B26" s="29" t="n"/>
      <c r="C26" s="30" t="n"/>
      <c r="D26" s="60" t="n"/>
      <c r="E26" s="12" t="n"/>
      <c r="F26" s="13" t="n"/>
      <c r="G26" s="30" t="n"/>
      <c r="H26" s="30" t="n"/>
      <c r="I26" s="64" t="n"/>
      <c r="J26" s="66" t="n"/>
    </row>
    <row r="27">
      <c r="A27" s="63" t="inlineStr">
        <is>
          <t>PA13</t>
        </is>
      </c>
      <c r="B27" s="29" t="inlineStr">
        <is>
          <t>Manteco</t>
        </is>
      </c>
      <c r="C27" s="30" t="inlineStr">
        <is>
          <t>Vestiaire Collective</t>
        </is>
      </c>
      <c r="D27" s="60" t="n">
        <v>1320</v>
      </c>
      <c r="E27" s="12" t="n">
        <v>611</v>
      </c>
      <c r="F27" s="13">
        <f>IFERROR(IF(AND(D27&lt;&gt;"",E27&lt;&gt;""),E27/D27,""),"")</f>
        <v/>
      </c>
      <c r="G27" s="30" t="n"/>
      <c r="H27" s="30" t="inlineStr">
        <is>
          <t>Very Good</t>
        </is>
      </c>
      <c r="I27" s="64" t="n"/>
      <c r="J27" s="69" t="inlineStr">
        <is>
          <t>https://it.vestiairecollective.com/donna-abbigliamento/cappotti/woolrich/cappotti-woolrich-marina-lana-50801474.shtml</t>
        </is>
      </c>
    </row>
    <row r="28">
      <c r="A28" s="63" t="inlineStr">
        <is>
          <t>PA13</t>
        </is>
      </c>
      <c r="B28" s="29" t="n"/>
      <c r="C28" s="30" t="n"/>
      <c r="D28" s="60" t="n"/>
      <c r="E28" s="12" t="n"/>
      <c r="F28" s="13" t="n"/>
      <c r="G28" s="30" t="n"/>
      <c r="H28" s="30" t="n"/>
      <c r="I28" s="64" t="n"/>
      <c r="J28" s="66" t="n"/>
    </row>
    <row r="29">
      <c r="A29" s="63" t="inlineStr">
        <is>
          <t>PA14</t>
        </is>
      </c>
      <c r="B29" s="29" t="n"/>
      <c r="C29" s="30" t="n"/>
      <c r="D29" s="60" t="n"/>
      <c r="E29" s="12" t="n"/>
      <c r="F29" s="13" t="n"/>
      <c r="G29" s="30" t="n"/>
      <c r="H29" s="30" t="n"/>
      <c r="I29" s="64" t="n"/>
      <c r="J29" s="66" t="n"/>
    </row>
    <row r="30">
      <c r="A30" s="63" t="inlineStr">
        <is>
          <t>PA15</t>
        </is>
      </c>
      <c r="B30" s="29" t="inlineStr">
        <is>
          <t>Manteco</t>
        </is>
      </c>
      <c r="C30" s="30" t="inlineStr">
        <is>
          <t>eBay</t>
        </is>
      </c>
      <c r="D30" s="60" t="n">
        <v>378</v>
      </c>
      <c r="E30" s="12" t="n">
        <v>100</v>
      </c>
      <c r="F30" s="13">
        <f>IFERROR(IF(AND(D30&lt;&gt;"",E30&lt;&gt;""),E30/D30,""),"")</f>
        <v/>
      </c>
      <c r="G30" s="30" t="n"/>
      <c r="H30" s="30" t="inlineStr">
        <is>
          <t>Very Good</t>
        </is>
      </c>
      <c r="I30" s="64" t="n"/>
      <c r="J30" s="69" t="inlineStr">
        <is>
          <t>https://www.ebay.com/itm/157808806245?_skw=aritzia+double+faced&amp;itmmeta=01KPJHZ9VW4R7VG3D7Q7QZPSTM&amp;hash=item24be234965:g:SbkAAeSwqiRp0cK0&amp;itmprp=enc%3AAQALAAAA0GfYFPkwiKCW4ZNSs2u11xD3xp3nXUpG%2F3XVNGuU12cRgt8ThOQ%2FBoAM5yh6cVDA86jTTueR9AiY1jAOK3F%2FoCv7b5GiRqi2Zw7DekaA7bCKi5KVfkQry6zXnM5rJsGxy5scQ8xn%2FkKF%2F3X4MBsaOYclvbcmjhRg6PGEnRbSFnXnwivZiZ6nSSvj%2B2kAih9kUL0XEAoD71WuN73SXlWDj%2BrFPyQnsGPfUt%2FuWOHu11Qm2pon01GCVGOdBkTH7oUWqUBa7tNvRtIuWllfazuMR9Y%3D%7Ctkp%3ABk9SR5Ce_dG0Zw</t>
        </is>
      </c>
    </row>
    <row r="31">
      <c r="A31" s="63" t="inlineStr">
        <is>
          <t>PA15</t>
        </is>
      </c>
      <c r="B31" s="29" t="n"/>
      <c r="C31" s="30" t="n"/>
      <c r="D31" s="60" t="n"/>
      <c r="E31" s="12" t="n"/>
      <c r="F31" s="13">
        <f>IFERROR(IF(AND(D31&lt;&gt;"",E31&lt;&gt;""),E31/D31,""),"")</f>
        <v/>
      </c>
      <c r="G31" s="30" t="n"/>
      <c r="H31" s="30" t="n"/>
      <c r="I31" s="64" t="n"/>
      <c r="J31" s="66" t="n"/>
    </row>
    <row r="32" ht="18" customHeight="1" s="90">
      <c r="A32" s="63" t="inlineStr">
        <is>
          <t>PA16</t>
        </is>
      </c>
      <c r="B32" s="29" t="n"/>
      <c r="C32" s="30" t="n"/>
      <c r="D32" s="60" t="n"/>
      <c r="E32" s="12" t="n"/>
      <c r="F32" s="13">
        <f>IFERROR(IF(AND(D32&lt;&gt;"",E32&lt;&gt;""),E32/D32,""),"")</f>
        <v/>
      </c>
      <c r="G32" s="30" t="n"/>
      <c r="H32" s="30" t="n"/>
      <c r="I32" s="64" t="n"/>
      <c r="J32" s="66" t="n"/>
    </row>
    <row r="33">
      <c r="A33" s="63" t="inlineStr">
        <is>
          <t>PA17</t>
        </is>
      </c>
      <c r="B33" s="29" t="n"/>
      <c r="C33" s="30" t="n"/>
      <c r="D33" s="60" t="n"/>
      <c r="E33" s="60" t="n"/>
      <c r="F33" s="13">
        <f>IFERROR(IF(AND(D33&lt;&gt;"",E33&lt;&gt;""),E33/D33,""),"")</f>
        <v/>
      </c>
      <c r="G33" s="30" t="n"/>
      <c r="H33" s="30" t="n"/>
      <c r="I33" s="64" t="n"/>
      <c r="J33" s="70" t="n"/>
    </row>
    <row r="34">
      <c r="A34" s="63" t="inlineStr">
        <is>
          <t>PA17</t>
        </is>
      </c>
      <c r="B34" s="29" t="n"/>
      <c r="C34" s="30" t="n"/>
      <c r="D34" s="60" t="n"/>
      <c r="E34" s="60" t="n"/>
      <c r="F34" s="13">
        <f>IFERROR(IF(AND(D34&lt;&gt;"",E34&lt;&gt;""),E34/D34,""),"")</f>
        <v/>
      </c>
      <c r="G34" s="30" t="n"/>
      <c r="H34" s="30" t="n"/>
      <c r="I34" s="64" t="n"/>
      <c r="J34" s="70" t="n"/>
    </row>
    <row r="35">
      <c r="A35" s="63" t="inlineStr">
        <is>
          <t>PA18</t>
        </is>
      </c>
      <c r="B35" s="29" t="n"/>
      <c r="C35" s="30" t="n"/>
      <c r="D35" s="60" t="n"/>
      <c r="E35" s="60" t="n"/>
      <c r="F35" s="13">
        <f>IFERROR(IF(AND(D35&lt;&gt;"",E35&lt;&gt;""),E35/D35,""),"")</f>
        <v/>
      </c>
      <c r="G35" s="30" t="n"/>
      <c r="H35" s="30" t="n"/>
      <c r="I35" s="64" t="n"/>
      <c r="J35" s="70" t="n"/>
    </row>
    <row r="36">
      <c r="A36" s="63" t="inlineStr">
        <is>
          <t>PA18</t>
        </is>
      </c>
      <c r="B36" s="29" t="n"/>
      <c r="C36" s="30" t="n"/>
      <c r="D36" s="60" t="n"/>
      <c r="E36" s="60" t="n"/>
      <c r="F36" s="13">
        <f>IFERROR(IF(AND(D36&lt;&gt;"",E36&lt;&gt;""),E36/D36,""),"")</f>
        <v/>
      </c>
      <c r="G36" s="30" t="n"/>
      <c r="H36" s="30" t="n"/>
      <c r="I36" s="64" t="n"/>
      <c r="J36" s="70" t="n"/>
    </row>
    <row r="37">
      <c r="A37" s="63" t="inlineStr">
        <is>
          <t>PA19</t>
        </is>
      </c>
      <c r="B37" s="29" t="n"/>
      <c r="C37" s="30" t="n"/>
      <c r="D37" s="60" t="n"/>
      <c r="E37" s="60" t="n"/>
      <c r="F37" s="13">
        <f>IFERROR(IF(AND(D37&lt;&gt;"",E37&lt;&gt;""),E37/D37,""),"")</f>
        <v/>
      </c>
      <c r="G37" s="30" t="n"/>
      <c r="H37" s="30" t="n"/>
      <c r="I37" s="64" t="n"/>
      <c r="J37" s="70" t="n"/>
    </row>
    <row r="38" ht="18" customHeight="1" s="90">
      <c r="A38" s="63" t="inlineStr">
        <is>
          <t>PA19</t>
        </is>
      </c>
      <c r="B38" s="29" t="n"/>
      <c r="C38" s="30" t="n"/>
      <c r="D38" s="60" t="n"/>
      <c r="E38" s="60" t="n"/>
      <c r="F38" s="13">
        <f>IFERROR(IF(AND(D38&lt;&gt;"",E38&lt;&gt;""),E38/D38,""),"")</f>
        <v/>
      </c>
      <c r="G38" s="30" t="n"/>
      <c r="H38" s="30" t="n"/>
      <c r="I38" s="64" t="n"/>
      <c r="J38" s="70" t="n"/>
    </row>
    <row r="39" ht="18" customHeight="1" s="90">
      <c r="A39" s="63" t="inlineStr">
        <is>
          <t>PA20</t>
        </is>
      </c>
      <c r="B39" s="29" t="n"/>
      <c r="C39" s="30" t="n"/>
      <c r="D39" s="60" t="n"/>
      <c r="E39" s="60" t="n"/>
      <c r="F39" s="71" t="n"/>
      <c r="G39" s="30" t="n"/>
      <c r="H39" s="30" t="n"/>
      <c r="I39" s="64" t="n"/>
      <c r="J39" s="70" t="n"/>
    </row>
    <row r="40" ht="18" customHeight="1" s="90">
      <c r="A40" s="63" t="inlineStr">
        <is>
          <t>PA20</t>
        </is>
      </c>
      <c r="B40" s="29" t="n"/>
      <c r="C40" s="30" t="n"/>
      <c r="D40" s="60" t="n"/>
      <c r="E40" s="72" t="n"/>
      <c r="F40" s="13" t="n"/>
      <c r="G40" s="30" t="n"/>
      <c r="H40" s="30" t="n"/>
      <c r="I40" s="64" t="n"/>
      <c r="J40" s="70" t="n"/>
    </row>
    <row r="41" ht="18" customHeight="1" s="90">
      <c r="A41" s="63" t="n"/>
      <c r="B41" s="29" t="n"/>
      <c r="C41" s="30" t="n"/>
      <c r="D41" s="60" t="n"/>
      <c r="E41" s="60" t="n"/>
      <c r="F41" s="13" t="n"/>
      <c r="G41" s="30" t="n"/>
      <c r="H41" s="30" t="n"/>
      <c r="I41" s="64" t="n"/>
      <c r="J41" s="70" t="n"/>
    </row>
    <row r="42" ht="18" customHeight="1" s="90">
      <c r="A42" s="63" t="n"/>
      <c r="B42" s="29" t="n"/>
      <c r="C42" s="30" t="n"/>
      <c r="D42" s="60" t="n"/>
      <c r="E42" s="60" t="n"/>
      <c r="F42" s="13" t="n"/>
      <c r="G42" s="30" t="n"/>
      <c r="H42" s="30" t="n"/>
      <c r="I42" s="64" t="n"/>
      <c r="J42" s="70" t="n"/>
    </row>
    <row r="43" ht="18" customHeight="1" s="90">
      <c r="A43" s="63" t="n"/>
      <c r="B43" s="29" t="n"/>
      <c r="C43" s="30" t="n"/>
      <c r="D43" s="60" t="n"/>
      <c r="E43" s="60" t="n"/>
      <c r="F43" s="13" t="n"/>
      <c r="G43" s="30" t="n"/>
      <c r="H43" s="30" t="n"/>
      <c r="I43" s="64" t="n"/>
      <c r="J43" s="70" t="n"/>
    </row>
    <row r="44" ht="18" customHeight="1" s="90">
      <c r="A44" s="63" t="n"/>
      <c r="B44" s="29" t="n"/>
      <c r="C44" s="30" t="n"/>
      <c r="D44" s="60" t="n"/>
      <c r="E44" s="60" t="n"/>
      <c r="F44" s="13" t="n"/>
      <c r="G44" s="30" t="n"/>
      <c r="H44" s="30" t="n"/>
      <c r="I44" s="64" t="n"/>
      <c r="J44" s="70" t="n"/>
    </row>
    <row r="45" ht="18" customHeight="1" s="90">
      <c r="A45" s="63" t="n"/>
      <c r="B45" s="29" t="n"/>
      <c r="C45" s="30" t="n"/>
      <c r="D45" s="60" t="n"/>
      <c r="E45" s="60" t="n"/>
      <c r="F45" s="13" t="n"/>
      <c r="G45" s="30" t="n"/>
      <c r="H45" s="30" t="n"/>
      <c r="I45" s="64" t="n"/>
      <c r="J45" s="70" t="n"/>
    </row>
    <row r="46" ht="18" customHeight="1" s="90">
      <c r="A46" s="63" t="n"/>
      <c r="B46" s="29" t="n"/>
      <c r="C46" s="30" t="n"/>
      <c r="D46" s="60" t="n"/>
      <c r="E46" s="60" t="n"/>
      <c r="F46" s="13" t="n"/>
      <c r="G46" s="30" t="n"/>
      <c r="H46" s="30" t="n"/>
      <c r="I46" s="64" t="n"/>
      <c r="J46" s="70" t="n"/>
    </row>
    <row r="47" ht="18" customHeight="1" s="90">
      <c r="A47" s="63" t="n"/>
      <c r="B47" s="29" t="n"/>
      <c r="C47" s="30" t="n"/>
      <c r="D47" s="60" t="n"/>
      <c r="E47" s="60" t="n"/>
      <c r="F47" s="13" t="n"/>
      <c r="G47" s="30" t="n"/>
      <c r="H47" s="30" t="n"/>
      <c r="I47" s="64" t="n"/>
      <c r="J47" s="70" t="n"/>
    </row>
    <row r="48" ht="18" customHeight="1" s="90">
      <c r="A48" s="63" t="n"/>
      <c r="B48" s="29" t="n"/>
      <c r="C48" s="30" t="n"/>
      <c r="D48" s="60" t="n"/>
      <c r="E48" s="60" t="n"/>
      <c r="F48" s="13" t="n"/>
      <c r="G48" s="30" t="n"/>
      <c r="H48" s="30" t="n"/>
      <c r="I48" s="64" t="n"/>
      <c r="J48" s="70" t="n"/>
    </row>
    <row r="49" ht="18" customHeight="1" s="90">
      <c r="A49" s="63" t="n"/>
      <c r="B49" s="29" t="n"/>
      <c r="C49" s="30" t="n"/>
      <c r="D49" s="60" t="n"/>
      <c r="E49" s="60" t="n"/>
      <c r="F49" s="13" t="n"/>
      <c r="G49" s="30" t="n"/>
      <c r="H49" s="30" t="n"/>
      <c r="I49" s="64" t="n"/>
      <c r="J49" s="70" t="n"/>
    </row>
    <row r="50" ht="18" customHeight="1" s="90">
      <c r="A50" s="63" t="n"/>
      <c r="B50" s="29" t="n"/>
      <c r="C50" s="30" t="n"/>
      <c r="D50" s="60" t="n"/>
      <c r="E50" s="60" t="n"/>
      <c r="F50" s="13" t="n"/>
      <c r="G50" s="30" t="n"/>
      <c r="H50" s="30" t="n"/>
      <c r="I50" s="64" t="n"/>
      <c r="J50" s="70" t="n"/>
    </row>
    <row r="51" ht="18" customHeight="1" s="90">
      <c r="A51" s="63" t="n"/>
      <c r="B51" s="29" t="n"/>
      <c r="C51" s="30" t="n"/>
      <c r="D51" s="60" t="n"/>
      <c r="E51" s="60" t="n"/>
      <c r="F51" s="13" t="n"/>
      <c r="G51" s="30" t="n"/>
      <c r="H51" s="30" t="n"/>
      <c r="I51" s="64" t="n"/>
      <c r="J51" s="70" t="n"/>
    </row>
    <row r="52" ht="18" customHeight="1" s="90">
      <c r="A52" s="63" t="n"/>
      <c r="B52" s="29" t="n"/>
      <c r="C52" s="30" t="n"/>
      <c r="D52" s="60" t="n"/>
      <c r="E52" s="60" t="n"/>
      <c r="F52" s="13" t="n"/>
      <c r="G52" s="30" t="n"/>
      <c r="H52" s="30" t="n"/>
      <c r="I52" s="64" t="n"/>
      <c r="J52" s="70" t="n"/>
    </row>
    <row r="53" ht="18" customHeight="1" s="90">
      <c r="A53" s="63" t="n"/>
      <c r="B53" s="29" t="n"/>
      <c r="C53" s="30" t="n"/>
      <c r="D53" s="60" t="n"/>
      <c r="E53" s="60" t="n"/>
      <c r="F53" s="13" t="n"/>
      <c r="G53" s="30" t="n"/>
      <c r="H53" s="30" t="n"/>
      <c r="I53" s="64" t="n"/>
      <c r="J53" s="70" t="n"/>
    </row>
    <row r="54" ht="18" customHeight="1" s="90">
      <c r="A54" s="63" t="n"/>
      <c r="B54" s="29" t="n"/>
      <c r="C54" s="30" t="n"/>
      <c r="D54" s="60" t="n"/>
      <c r="E54" s="60" t="n"/>
      <c r="F54" s="13" t="n"/>
      <c r="G54" s="30" t="n"/>
      <c r="H54" s="30" t="n"/>
      <c r="I54" s="64" t="n"/>
      <c r="J54" s="70" t="n"/>
    </row>
    <row r="55" ht="18" customHeight="1" s="90">
      <c r="A55" s="63" t="n"/>
      <c r="B55" s="29" t="n"/>
      <c r="C55" s="30" t="n"/>
      <c r="D55" s="60" t="n"/>
      <c r="E55" s="60" t="n"/>
      <c r="F55" s="13" t="n"/>
      <c r="G55" s="30" t="n"/>
      <c r="H55" s="30" t="n"/>
      <c r="I55" s="64" t="n"/>
      <c r="J55" s="70" t="n"/>
    </row>
    <row r="56" ht="18" customHeight="1" s="90">
      <c r="A56" s="63" t="n"/>
      <c r="B56" s="29" t="n"/>
      <c r="C56" s="30" t="n"/>
      <c r="D56" s="60" t="n"/>
      <c r="E56" s="60" t="n"/>
      <c r="F56" s="13" t="n"/>
      <c r="G56" s="30" t="n"/>
      <c r="H56" s="30" t="n"/>
      <c r="I56" s="64" t="n"/>
      <c r="J56" s="70" t="n"/>
    </row>
    <row r="57" ht="18" customHeight="1" s="90">
      <c r="A57" s="63" t="n"/>
      <c r="B57" s="29" t="n"/>
      <c r="C57" s="30" t="n"/>
      <c r="D57" s="60" t="n"/>
      <c r="E57" s="60" t="n"/>
      <c r="F57" s="13" t="n"/>
      <c r="G57" s="30" t="n"/>
      <c r="H57" s="30" t="n"/>
      <c r="I57" s="64" t="n"/>
      <c r="J57" s="70" t="n"/>
    </row>
    <row r="58" ht="18" customHeight="1" s="90">
      <c r="A58" s="63" t="n"/>
      <c r="B58" s="29" t="n"/>
      <c r="C58" s="30" t="n"/>
      <c r="D58" s="60" t="n"/>
      <c r="E58" s="60" t="n"/>
      <c r="F58" s="13" t="n"/>
      <c r="G58" s="30" t="n"/>
      <c r="H58" s="30" t="n"/>
      <c r="I58" s="64" t="n"/>
      <c r="J58" s="70" t="n"/>
    </row>
    <row r="59" ht="18" customHeight="1" s="90">
      <c r="A59" s="63" t="n"/>
      <c r="B59" s="29" t="n"/>
      <c r="C59" s="30" t="n"/>
      <c r="D59" s="60" t="n"/>
      <c r="E59" s="60" t="n"/>
      <c r="F59" s="13" t="n"/>
      <c r="G59" s="30" t="n"/>
      <c r="H59" s="30" t="n"/>
      <c r="I59" s="64" t="n"/>
      <c r="J59" s="70" t="n"/>
    </row>
    <row r="60" ht="18" customHeight="1" s="90">
      <c r="A60" s="63" t="n"/>
      <c r="B60" s="29" t="n"/>
      <c r="C60" s="30" t="n"/>
      <c r="D60" s="60" t="n"/>
      <c r="E60" s="60" t="n"/>
      <c r="F60" s="13" t="n"/>
      <c r="G60" s="30" t="n"/>
      <c r="H60" s="30" t="n"/>
      <c r="I60" s="64" t="n"/>
      <c r="J60" s="70" t="n"/>
    </row>
    <row r="61" ht="18" customHeight="1" s="90">
      <c r="A61" s="63" t="n"/>
      <c r="B61" s="29" t="n"/>
      <c r="C61" s="30" t="n"/>
      <c r="D61" s="60" t="n"/>
      <c r="E61" s="60" t="n"/>
      <c r="F61" s="13" t="n"/>
      <c r="G61" s="30" t="n"/>
      <c r="H61" s="30" t="n"/>
      <c r="I61" s="64" t="n"/>
      <c r="J61" s="70" t="n"/>
    </row>
    <row r="62" ht="18" customHeight="1" s="90">
      <c r="A62" s="63" t="n"/>
      <c r="B62" s="29" t="n"/>
      <c r="C62" s="30" t="n"/>
      <c r="D62" s="60" t="n"/>
      <c r="E62" s="60" t="n"/>
      <c r="F62" s="13" t="n"/>
      <c r="G62" s="30" t="n"/>
      <c r="H62" s="30" t="n"/>
      <c r="I62" s="64" t="n"/>
      <c r="J62" s="70" t="n"/>
    </row>
    <row r="63" ht="18" customHeight="1" s="90">
      <c r="A63" s="63" t="n"/>
      <c r="B63" s="29" t="n"/>
      <c r="C63" s="30" t="n"/>
      <c r="D63" s="60" t="n"/>
      <c r="E63" s="60" t="n"/>
      <c r="F63" s="13" t="n"/>
      <c r="G63" s="30" t="n"/>
      <c r="H63" s="30" t="n"/>
      <c r="I63" s="64" t="n"/>
      <c r="J63" s="70" t="n"/>
    </row>
    <row r="64" ht="18" customHeight="1" s="90">
      <c r="A64" s="63" t="n"/>
      <c r="B64" s="29" t="n"/>
      <c r="C64" s="30" t="n"/>
      <c r="D64" s="60" t="n"/>
      <c r="E64" s="60" t="n"/>
      <c r="F64" s="13" t="n"/>
      <c r="G64" s="30" t="n"/>
      <c r="H64" s="30" t="n"/>
      <c r="I64" s="64" t="n"/>
      <c r="J64" s="70" t="n"/>
    </row>
    <row r="65" ht="18" customHeight="1" s="90">
      <c r="A65" s="63" t="n"/>
      <c r="B65" s="29" t="n"/>
      <c r="C65" s="30" t="n"/>
      <c r="D65" s="60" t="n"/>
      <c r="E65" s="60" t="n"/>
      <c r="F65" s="13" t="n"/>
      <c r="G65" s="30" t="n"/>
      <c r="H65" s="30" t="n"/>
      <c r="I65" s="64" t="n"/>
      <c r="J65" s="70" t="n"/>
    </row>
    <row r="66" ht="18" customHeight="1" s="90">
      <c r="A66" s="63" t="n"/>
      <c r="B66" s="29" t="n"/>
      <c r="C66" s="30" t="n"/>
      <c r="D66" s="60" t="n"/>
      <c r="E66" s="60" t="n"/>
      <c r="F66" s="13" t="n"/>
      <c r="G66" s="30" t="n"/>
      <c r="H66" s="30" t="n"/>
      <c r="I66" s="64" t="n"/>
      <c r="J66" s="70" t="n"/>
    </row>
    <row r="67" ht="18" customHeight="1" s="90">
      <c r="A67" s="63" t="n"/>
      <c r="B67" s="29" t="n"/>
      <c r="C67" s="30" t="n"/>
      <c r="D67" s="60" t="n"/>
      <c r="E67" s="60" t="n"/>
      <c r="F67" s="13" t="n"/>
      <c r="G67" s="30" t="n"/>
      <c r="H67" s="30" t="n"/>
      <c r="I67" s="64" t="n"/>
      <c r="J67" s="70" t="n"/>
    </row>
    <row r="68" ht="18" customHeight="1" s="90">
      <c r="A68" s="63" t="n"/>
      <c r="B68" s="29" t="n"/>
      <c r="C68" s="30" t="n"/>
      <c r="D68" s="60" t="n"/>
      <c r="E68" s="60" t="n"/>
      <c r="F68" s="13" t="n"/>
      <c r="G68" s="30" t="n"/>
      <c r="H68" s="30" t="n"/>
      <c r="I68" s="64" t="n"/>
      <c r="J68" s="70" t="n"/>
    </row>
    <row r="69" ht="18" customHeight="1" s="90">
      <c r="A69" s="63" t="n"/>
      <c r="B69" s="29" t="n"/>
      <c r="C69" s="30" t="n"/>
      <c r="D69" s="60" t="n"/>
      <c r="E69" s="60" t="n"/>
      <c r="F69" s="13" t="n"/>
      <c r="G69" s="30" t="n"/>
      <c r="H69" s="30" t="n"/>
      <c r="I69" s="64" t="n"/>
      <c r="J69" s="70" t="n"/>
    </row>
    <row r="70" ht="18" customHeight="1" s="90">
      <c r="A70" s="63" t="n"/>
      <c r="B70" s="29" t="n"/>
      <c r="C70" s="30" t="n"/>
      <c r="D70" s="60" t="n"/>
      <c r="E70" s="60" t="n"/>
      <c r="F70" s="13" t="n"/>
      <c r="G70" s="30" t="n"/>
      <c r="H70" s="30" t="n"/>
      <c r="I70" s="64" t="n"/>
      <c r="J70" s="70" t="n"/>
    </row>
    <row r="71" ht="18" customHeight="1" s="90">
      <c r="A71" s="63" t="n"/>
      <c r="B71" s="29" t="n"/>
      <c r="C71" s="30" t="n"/>
      <c r="D71" s="60" t="n"/>
      <c r="E71" s="60" t="n"/>
      <c r="F71" s="13" t="n"/>
      <c r="G71" s="30" t="n"/>
      <c r="H71" s="30" t="n"/>
      <c r="I71" s="64" t="n"/>
      <c r="J71" s="70" t="n"/>
    </row>
    <row r="72" ht="18" customHeight="1" s="90">
      <c r="A72" s="63" t="n"/>
      <c r="B72" s="29" t="n"/>
      <c r="C72" s="30" t="n"/>
      <c r="D72" s="60" t="n"/>
      <c r="E72" s="60" t="n"/>
      <c r="F72" s="13" t="n"/>
      <c r="G72" s="30" t="n"/>
      <c r="H72" s="30" t="n"/>
      <c r="I72" s="64" t="n"/>
      <c r="J72" s="70" t="n"/>
    </row>
    <row r="73" ht="18" customHeight="1" s="90">
      <c r="A73" s="63" t="n"/>
      <c r="B73" s="29" t="n"/>
      <c r="C73" s="30" t="n"/>
      <c r="D73" s="60" t="n"/>
      <c r="E73" s="60" t="n"/>
      <c r="F73" s="13" t="n"/>
      <c r="G73" s="30" t="n"/>
      <c r="H73" s="30" t="n"/>
      <c r="I73" s="64" t="n"/>
      <c r="J73" s="70" t="n"/>
    </row>
    <row r="74" ht="18" customHeight="1" s="90">
      <c r="A74" s="63" t="n"/>
      <c r="B74" s="29" t="n"/>
      <c r="C74" s="30" t="n"/>
      <c r="D74" s="60" t="n"/>
      <c r="E74" s="60" t="n"/>
      <c r="F74" s="13" t="n"/>
      <c r="G74" s="30" t="n"/>
      <c r="H74" s="30" t="n"/>
      <c r="I74" s="64" t="n"/>
      <c r="J74" s="70" t="n"/>
    </row>
    <row r="75" ht="18" customHeight="1" s="90">
      <c r="A75" s="63" t="n"/>
      <c r="B75" s="29" t="n"/>
      <c r="C75" s="30" t="n"/>
      <c r="D75" s="60" t="n"/>
      <c r="E75" s="60" t="n"/>
      <c r="F75" s="13" t="n"/>
      <c r="G75" s="30" t="n"/>
      <c r="H75" s="30" t="n"/>
      <c r="I75" s="64" t="n"/>
      <c r="J75" s="70" t="n"/>
    </row>
    <row r="76" ht="18" customHeight="1" s="90">
      <c r="A76" s="63" t="n"/>
      <c r="B76" s="29" t="n"/>
      <c r="C76" s="30" t="n"/>
      <c r="D76" s="60" t="n"/>
      <c r="E76" s="60" t="n"/>
      <c r="F76" s="13" t="n"/>
      <c r="G76" s="30" t="n"/>
      <c r="H76" s="30" t="n"/>
      <c r="I76" s="64" t="n"/>
      <c r="J76" s="70" t="n"/>
    </row>
    <row r="77" ht="18" customHeight="1" s="90">
      <c r="A77" s="63" t="n"/>
      <c r="B77" s="29" t="n"/>
      <c r="C77" s="30" t="n"/>
      <c r="D77" s="60" t="n"/>
      <c r="E77" s="60" t="n"/>
      <c r="F77" s="13" t="n"/>
      <c r="G77" s="30" t="n"/>
      <c r="H77" s="30" t="n"/>
      <c r="I77" s="64" t="n"/>
      <c r="J77" s="70" t="n"/>
    </row>
    <row r="78" ht="18" customHeight="1" s="90">
      <c r="A78" s="63" t="n"/>
      <c r="B78" s="29" t="n"/>
      <c r="C78" s="30" t="n"/>
      <c r="D78" s="60" t="n"/>
      <c r="E78" s="60" t="n"/>
      <c r="F78" s="13" t="n"/>
      <c r="G78" s="30" t="n"/>
      <c r="H78" s="30" t="n"/>
      <c r="I78" s="64" t="n"/>
      <c r="J78" s="70" t="n"/>
    </row>
    <row r="79" ht="18" customHeight="1" s="90">
      <c r="A79" s="63" t="n"/>
      <c r="B79" s="29" t="n"/>
      <c r="C79" s="30" t="n"/>
      <c r="D79" s="60" t="n"/>
      <c r="E79" s="60" t="n"/>
      <c r="F79" s="13" t="n"/>
      <c r="G79" s="30" t="n"/>
      <c r="H79" s="30" t="n"/>
      <c r="I79" s="64" t="n"/>
      <c r="J79" s="70" t="n"/>
    </row>
    <row r="80" ht="18" customHeight="1" s="90">
      <c r="A80" s="63" t="n"/>
      <c r="B80" s="29" t="n"/>
      <c r="C80" s="30" t="n"/>
      <c r="D80" s="60" t="n"/>
      <c r="E80" s="60" t="n"/>
      <c r="F80" s="13" t="n"/>
      <c r="G80" s="30" t="n"/>
      <c r="H80" s="30" t="n"/>
      <c r="I80" s="64" t="n"/>
      <c r="J80" s="70" t="n"/>
    </row>
    <row r="81" ht="18" customHeight="1" s="90">
      <c r="A81" s="63" t="n"/>
      <c r="B81" s="29" t="n"/>
      <c r="C81" s="30" t="n"/>
      <c r="D81" s="60" t="n"/>
      <c r="E81" s="60" t="n"/>
      <c r="F81" s="13" t="n"/>
      <c r="G81" s="30" t="n"/>
      <c r="H81" s="30" t="n"/>
      <c r="I81" s="64" t="n"/>
      <c r="J81" s="70" t="n"/>
    </row>
    <row r="82" ht="18" customHeight="1" s="90">
      <c r="A82" s="63" t="n"/>
      <c r="B82" s="29" t="n"/>
      <c r="C82" s="30" t="n"/>
      <c r="D82" s="60" t="n"/>
      <c r="E82" s="60" t="n"/>
      <c r="F82" s="13" t="n"/>
      <c r="G82" s="30" t="n"/>
      <c r="H82" s="30" t="n"/>
      <c r="I82" s="64" t="n"/>
      <c r="J82" s="70" t="n"/>
    </row>
    <row r="83" ht="18" customHeight="1" s="90">
      <c r="A83" s="63" t="n"/>
      <c r="B83" s="29" t="n"/>
      <c r="C83" s="30" t="n"/>
      <c r="D83" s="60" t="n"/>
      <c r="E83" s="60" t="n"/>
      <c r="F83" s="13" t="n"/>
      <c r="G83" s="30" t="n"/>
      <c r="H83" s="30" t="n"/>
      <c r="I83" s="64" t="n"/>
      <c r="J83" s="70" t="n"/>
    </row>
    <row r="84" ht="18" customHeight="1" s="90">
      <c r="A84" s="63" t="n"/>
      <c r="B84" s="29" t="n"/>
      <c r="C84" s="30" t="n"/>
      <c r="D84" s="60" t="n"/>
      <c r="E84" s="60" t="n"/>
      <c r="F84" s="13" t="n"/>
      <c r="G84" s="30" t="n"/>
      <c r="H84" s="30" t="n"/>
      <c r="I84" s="64" t="n"/>
      <c r="J84" s="70" t="n"/>
    </row>
    <row r="85" ht="18" customHeight="1" s="90">
      <c r="A85" s="63" t="n"/>
      <c r="B85" s="29" t="n"/>
      <c r="C85" s="30" t="n"/>
      <c r="D85" s="60" t="n"/>
      <c r="E85" s="60" t="n"/>
      <c r="F85" s="13" t="n"/>
      <c r="G85" s="30" t="n"/>
      <c r="H85" s="30" t="n"/>
      <c r="I85" s="64" t="n"/>
      <c r="J85" s="70" t="n"/>
    </row>
    <row r="86" ht="18" customHeight="1" s="90">
      <c r="A86" s="63" t="n"/>
      <c r="B86" s="29" t="n"/>
      <c r="C86" s="30" t="n"/>
      <c r="D86" s="60" t="n"/>
      <c r="E86" s="60" t="n"/>
      <c r="F86" s="13" t="n"/>
      <c r="G86" s="30" t="n"/>
      <c r="H86" s="30" t="n"/>
      <c r="I86" s="64" t="n"/>
      <c r="J86" s="70" t="n"/>
    </row>
    <row r="87" ht="18" customHeight="1" s="90">
      <c r="A87" s="63" t="n"/>
      <c r="B87" s="29" t="n"/>
      <c r="C87" s="30" t="n"/>
      <c r="D87" s="60" t="n"/>
      <c r="E87" s="60" t="n"/>
      <c r="F87" s="13" t="n"/>
      <c r="G87" s="30" t="n"/>
      <c r="H87" s="30" t="n"/>
      <c r="I87" s="64" t="n"/>
      <c r="J87" s="70" t="n"/>
    </row>
    <row r="88" ht="18" customHeight="1" s="90">
      <c r="A88" s="63" t="n"/>
      <c r="B88" s="29" t="n"/>
      <c r="C88" s="30" t="n"/>
      <c r="D88" s="60" t="n"/>
      <c r="E88" s="60" t="n"/>
      <c r="F88" s="13" t="n"/>
      <c r="G88" s="30" t="n"/>
      <c r="H88" s="30" t="n"/>
      <c r="I88" s="64" t="n"/>
      <c r="J88" s="70" t="n"/>
    </row>
    <row r="89" ht="18" customHeight="1" s="90">
      <c r="A89" s="63" t="n"/>
      <c r="B89" s="29" t="n"/>
      <c r="C89" s="30" t="n"/>
      <c r="D89" s="60" t="n"/>
      <c r="E89" s="60" t="n"/>
      <c r="F89" s="13" t="n"/>
      <c r="G89" s="30" t="n"/>
      <c r="H89" s="30" t="n"/>
      <c r="I89" s="64" t="n"/>
      <c r="J89" s="70" t="n"/>
    </row>
    <row r="90" ht="18" customHeight="1" s="90">
      <c r="A90" s="63" t="n"/>
      <c r="B90" s="29" t="n"/>
      <c r="C90" s="30" t="n"/>
      <c r="D90" s="60" t="n"/>
      <c r="E90" s="60" t="n"/>
      <c r="F90" s="13" t="n"/>
      <c r="G90" s="30" t="n"/>
      <c r="H90" s="30" t="n"/>
      <c r="I90" s="64" t="n"/>
      <c r="J90" s="70" t="n"/>
    </row>
    <row r="91" ht="18" customHeight="1" s="90">
      <c r="A91" s="63" t="n"/>
      <c r="B91" s="29" t="n"/>
      <c r="C91" s="30" t="n"/>
      <c r="D91" s="60" t="n"/>
      <c r="E91" s="60" t="n"/>
      <c r="F91" s="13" t="n"/>
      <c r="G91" s="30" t="n"/>
      <c r="H91" s="30" t="n"/>
      <c r="I91" s="64" t="n"/>
      <c r="J91" s="70" t="n"/>
    </row>
    <row r="92" ht="18" customHeight="1" s="90">
      <c r="A92" s="63" t="n"/>
      <c r="B92" s="29" t="n"/>
      <c r="C92" s="30" t="n"/>
      <c r="D92" s="60" t="n"/>
      <c r="E92" s="60" t="n"/>
      <c r="F92" s="13" t="n"/>
      <c r="G92" s="30" t="n"/>
      <c r="H92" s="30" t="n"/>
      <c r="I92" s="64" t="n"/>
      <c r="J92" s="70" t="n"/>
    </row>
    <row r="93" ht="18" customHeight="1" s="90">
      <c r="A93" s="63" t="n"/>
      <c r="B93" s="29" t="n"/>
      <c r="C93" s="30" t="n"/>
      <c r="D93" s="60" t="n"/>
      <c r="E93" s="60" t="n"/>
      <c r="F93" s="13" t="n"/>
      <c r="G93" s="30" t="n"/>
      <c r="H93" s="30" t="n"/>
      <c r="I93" s="64" t="n"/>
      <c r="J93" s="70" t="n"/>
    </row>
    <row r="94" ht="18" customHeight="1" s="90">
      <c r="A94" s="63" t="n"/>
      <c r="B94" s="29" t="n"/>
      <c r="C94" s="30" t="n"/>
      <c r="D94" s="60" t="n"/>
      <c r="E94" s="60" t="n"/>
      <c r="F94" s="13" t="n"/>
      <c r="G94" s="30" t="n"/>
      <c r="H94" s="30" t="n"/>
      <c r="I94" s="64" t="n"/>
      <c r="J94" s="70" t="n"/>
    </row>
    <row r="95" ht="18" customHeight="1" s="90">
      <c r="A95" s="63" t="n"/>
      <c r="B95" s="29" t="n"/>
      <c r="C95" s="30" t="n"/>
      <c r="D95" s="60" t="n"/>
      <c r="E95" s="60" t="n"/>
      <c r="F95" s="13" t="n"/>
      <c r="G95" s="30" t="n"/>
      <c r="H95" s="30" t="n"/>
      <c r="I95" s="64" t="n"/>
      <c r="J95" s="70" t="n"/>
    </row>
    <row r="96" ht="18" customHeight="1" s="90">
      <c r="A96" s="63" t="n"/>
      <c r="B96" s="29" t="n"/>
      <c r="C96" s="30" t="n"/>
      <c r="D96" s="60" t="n"/>
      <c r="E96" s="60" t="n"/>
      <c r="F96" s="13" t="n"/>
      <c r="G96" s="30" t="n"/>
      <c r="H96" s="30" t="n"/>
      <c r="I96" s="64" t="n"/>
      <c r="J96" s="70" t="n"/>
    </row>
    <row r="97" ht="18" customHeight="1" s="90">
      <c r="A97" s="63" t="n"/>
      <c r="B97" s="29" t="n"/>
      <c r="C97" s="30" t="n"/>
      <c r="D97" s="60" t="n"/>
      <c r="E97" s="60" t="n"/>
      <c r="F97" s="13" t="n"/>
      <c r="G97" s="30" t="n"/>
      <c r="H97" s="30" t="n"/>
      <c r="I97" s="64" t="n"/>
      <c r="J97" s="70" t="n"/>
    </row>
    <row r="98" ht="18" customHeight="1" s="90">
      <c r="A98" s="63" t="n"/>
      <c r="B98" s="29" t="n"/>
      <c r="C98" s="30" t="n"/>
      <c r="D98" s="60" t="n"/>
      <c r="E98" s="60" t="n"/>
      <c r="F98" s="13" t="n"/>
      <c r="G98" s="30" t="n"/>
      <c r="H98" s="30" t="n"/>
      <c r="I98" s="64" t="n"/>
      <c r="J98" s="70" t="n"/>
    </row>
    <row r="99" ht="18" customHeight="1" s="90">
      <c r="A99" s="63" t="n"/>
      <c r="B99" s="29" t="n"/>
      <c r="C99" s="30" t="n"/>
      <c r="D99" s="60" t="n"/>
      <c r="E99" s="60" t="n"/>
      <c r="F99" s="13" t="n"/>
      <c r="G99" s="30" t="n"/>
      <c r="H99" s="30" t="n"/>
      <c r="I99" s="64" t="n"/>
      <c r="J99" s="70" t="n"/>
    </row>
    <row r="100" ht="18" customHeight="1" s="90">
      <c r="A100" s="63" t="n"/>
      <c r="B100" s="29" t="n"/>
      <c r="C100" s="30" t="n"/>
      <c r="D100" s="60" t="n"/>
      <c r="E100" s="60" t="n"/>
      <c r="F100" s="13" t="n"/>
      <c r="G100" s="30" t="n"/>
      <c r="H100" s="30" t="n"/>
      <c r="I100" s="64" t="n"/>
      <c r="J100" s="70" t="n"/>
    </row>
    <row r="101" ht="18" customHeight="1" s="90">
      <c r="A101" s="63" t="n"/>
      <c r="B101" s="29" t="n"/>
      <c r="C101" s="30" t="n"/>
      <c r="D101" s="60" t="n"/>
      <c r="E101" s="60" t="n"/>
      <c r="F101" s="13" t="n"/>
      <c r="G101" s="30" t="n"/>
      <c r="H101" s="30" t="n"/>
      <c r="I101" s="64" t="n"/>
      <c r="J101" s="70" t="n"/>
    </row>
    <row r="102" ht="18" customHeight="1" s="90">
      <c r="A102" s="63" t="n"/>
      <c r="B102" s="29" t="n"/>
      <c r="C102" s="30" t="n"/>
      <c r="D102" s="60" t="n"/>
      <c r="E102" s="60" t="n"/>
      <c r="F102" s="13" t="n"/>
      <c r="G102" s="30" t="n"/>
      <c r="H102" s="30" t="n"/>
      <c r="I102" s="64" t="n"/>
      <c r="J102" s="70" t="n"/>
    </row>
    <row r="103" ht="18" customHeight="1" s="90">
      <c r="A103" s="63" t="n"/>
      <c r="B103" s="29" t="n"/>
      <c r="C103" s="30" t="n"/>
      <c r="D103" s="60" t="n"/>
      <c r="E103" s="60" t="n"/>
      <c r="F103" s="13" t="n"/>
      <c r="G103" s="30" t="n"/>
      <c r="H103" s="30" t="n"/>
      <c r="I103" s="64" t="n"/>
      <c r="J103" s="70" t="n"/>
    </row>
    <row r="104" ht="18" customHeight="1" s="90">
      <c r="A104" s="73" t="n"/>
      <c r="B104" s="29" t="n"/>
      <c r="C104" s="30" t="n"/>
      <c r="D104" s="12" t="n"/>
      <c r="E104" s="12" t="n"/>
      <c r="F104" s="13" t="n"/>
      <c r="G104" s="30" t="n"/>
      <c r="H104" s="30" t="n"/>
      <c r="I104" s="64" t="n"/>
      <c r="J104" s="74" t="n"/>
    </row>
    <row r="105" ht="18" customHeight="1" s="90">
      <c r="A105" s="73" t="n"/>
      <c r="B105" s="29" t="n"/>
      <c r="C105" s="30" t="n"/>
      <c r="D105" s="12" t="n"/>
      <c r="E105" s="12" t="n"/>
      <c r="F105" s="13" t="n"/>
      <c r="G105" s="30" t="n"/>
      <c r="H105" s="30" t="n"/>
      <c r="I105" s="64" t="n"/>
      <c r="J105" s="74" t="n"/>
    </row>
    <row r="106" ht="18" customHeight="1" s="90">
      <c r="A106" s="73" t="n"/>
      <c r="B106" s="29" t="n"/>
      <c r="C106" s="30" t="n"/>
      <c r="D106" s="12" t="n"/>
      <c r="E106" s="12" t="n"/>
      <c r="F106" s="13" t="n"/>
      <c r="G106" s="30" t="n"/>
      <c r="H106" s="30" t="n"/>
      <c r="I106" s="64" t="n"/>
      <c r="J106" s="74" t="n"/>
    </row>
    <row r="107" ht="18" customHeight="1" s="90">
      <c r="A107" s="73" t="n"/>
      <c r="B107" s="29" t="n"/>
      <c r="C107" s="30" t="n"/>
      <c r="D107" s="12" t="n"/>
      <c r="E107" s="12" t="n"/>
      <c r="F107" s="13" t="n"/>
      <c r="G107" s="30" t="n"/>
      <c r="H107" s="30" t="n"/>
      <c r="I107" s="64" t="n"/>
      <c r="J107" s="74" t="n"/>
    </row>
    <row r="108" ht="18" customHeight="1" s="90">
      <c r="A108" s="73" t="n"/>
      <c r="B108" s="29" t="n"/>
      <c r="C108" s="30" t="n"/>
      <c r="D108" s="12" t="n"/>
      <c r="E108" s="12" t="n"/>
      <c r="F108" s="13" t="n"/>
      <c r="G108" s="30" t="n"/>
      <c r="H108" s="30" t="n"/>
      <c r="I108" s="64" t="n"/>
      <c r="J108" s="74" t="n"/>
    </row>
    <row r="109" ht="18" customHeight="1" s="90">
      <c r="A109" s="73" t="n"/>
      <c r="B109" s="29" t="n"/>
      <c r="C109" s="30" t="n"/>
      <c r="D109" s="12" t="n"/>
      <c r="E109" s="12" t="n"/>
      <c r="F109" s="13" t="n"/>
      <c r="G109" s="30" t="n"/>
      <c r="H109" s="30" t="n"/>
      <c r="I109" s="64" t="n"/>
      <c r="J109" s="74" t="n"/>
    </row>
    <row r="110" ht="18" customHeight="1" s="90">
      <c r="A110" s="73" t="n"/>
      <c r="B110" s="29" t="n"/>
      <c r="C110" s="30" t="n"/>
      <c r="D110" s="12" t="n"/>
      <c r="E110" s="12" t="n"/>
      <c r="F110" s="13" t="n"/>
      <c r="G110" s="30" t="n"/>
      <c r="H110" s="30" t="n"/>
      <c r="I110" s="64" t="n"/>
      <c r="J110" s="74" t="n"/>
    </row>
    <row r="111" ht="18" customHeight="1" s="90">
      <c r="A111" s="73" t="n"/>
      <c r="B111" s="29" t="n"/>
      <c r="C111" s="30" t="n"/>
      <c r="D111" s="12" t="n"/>
      <c r="E111" s="12" t="n"/>
      <c r="F111" s="13" t="n"/>
      <c r="G111" s="30" t="n"/>
      <c r="H111" s="30" t="n"/>
      <c r="I111" s="64" t="n"/>
      <c r="J111" s="74" t="n"/>
    </row>
    <row r="112" ht="18" customHeight="1" s="90">
      <c r="A112" s="73" t="n"/>
      <c r="B112" s="29" t="n"/>
      <c r="C112" s="30" t="n"/>
      <c r="D112" s="12" t="n"/>
      <c r="E112" s="12" t="n"/>
      <c r="F112" s="13" t="n"/>
      <c r="G112" s="30" t="n"/>
      <c r="H112" s="30" t="n"/>
      <c r="I112" s="64" t="n"/>
      <c r="J112" s="74" t="n"/>
    </row>
    <row r="113" ht="18" customHeight="1" s="90">
      <c r="A113" s="73" t="n"/>
      <c r="B113" s="29" t="n"/>
      <c r="C113" s="30" t="n"/>
      <c r="D113" s="12" t="n"/>
      <c r="E113" s="12" t="n"/>
      <c r="F113" s="13" t="n"/>
      <c r="G113" s="30" t="n"/>
      <c r="H113" s="30" t="n"/>
      <c r="I113" s="64" t="n"/>
      <c r="J113" s="74" t="n"/>
    </row>
    <row r="114" ht="18" customHeight="1" s="90">
      <c r="A114" s="73" t="n"/>
      <c r="B114" s="29" t="n"/>
      <c r="C114" s="30" t="n"/>
      <c r="D114" s="12" t="n"/>
      <c r="E114" s="12" t="n"/>
      <c r="F114" s="13" t="n"/>
      <c r="G114" s="30" t="n"/>
      <c r="H114" s="30" t="n"/>
      <c r="I114" s="64" t="n"/>
      <c r="J114" s="74" t="n"/>
    </row>
    <row r="115" ht="18" customHeight="1" s="90">
      <c r="A115" s="73" t="n"/>
      <c r="B115" s="29" t="n"/>
      <c r="C115" s="30" t="n"/>
      <c r="D115" s="12" t="n"/>
      <c r="E115" s="12" t="n"/>
      <c r="F115" s="13" t="n"/>
      <c r="G115" s="30" t="n"/>
      <c r="H115" s="30" t="n"/>
      <c r="I115" s="64" t="n"/>
      <c r="J115" s="74" t="n"/>
    </row>
    <row r="116" ht="18" customHeight="1" s="90">
      <c r="A116" s="73" t="n"/>
      <c r="B116" s="29" t="n"/>
      <c r="C116" s="30" t="n"/>
      <c r="D116" s="12" t="n"/>
      <c r="E116" s="12" t="n"/>
      <c r="F116" s="13" t="n"/>
      <c r="G116" s="30" t="n"/>
      <c r="H116" s="30" t="n"/>
      <c r="I116" s="64" t="n"/>
      <c r="J116" s="74" t="n"/>
    </row>
    <row r="117" ht="18" customHeight="1" s="90">
      <c r="A117" s="73" t="n"/>
      <c r="B117" s="29" t="n"/>
      <c r="C117" s="30" t="n"/>
      <c r="D117" s="12" t="n"/>
      <c r="E117" s="12" t="n"/>
      <c r="F117" s="13" t="n"/>
      <c r="G117" s="30" t="n"/>
      <c r="H117" s="30" t="n"/>
      <c r="I117" s="64" t="n"/>
      <c r="J117" s="74" t="n"/>
    </row>
    <row r="118" ht="18" customHeight="1" s="90">
      <c r="A118" s="73" t="n"/>
      <c r="B118" s="29" t="n"/>
      <c r="C118" s="30" t="n"/>
      <c r="D118" s="12" t="n"/>
      <c r="E118" s="12" t="n"/>
      <c r="F118" s="13">
        <f>IFERROR(IF(AND(D118&lt;&gt;"",E118&lt;&gt;""),E118/D118,""),"")</f>
        <v/>
      </c>
      <c r="G118" s="30" t="n"/>
      <c r="H118" s="30" t="n"/>
      <c r="I118" s="64" t="n"/>
      <c r="J118" s="74" t="n"/>
    </row>
    <row r="119" ht="18" customHeight="1" s="90">
      <c r="A119" s="73" t="n"/>
      <c r="B119" s="29" t="n"/>
      <c r="C119" s="30" t="n"/>
      <c r="D119" s="12" t="n"/>
      <c r="E119" s="12" t="n"/>
      <c r="F119" s="13">
        <f>IFERROR(IF(AND(D119&lt;&gt;"",E119&lt;&gt;""),E119/D119,""),"")</f>
        <v/>
      </c>
      <c r="G119" s="30" t="n"/>
      <c r="H119" s="30" t="n"/>
      <c r="I119" s="64" t="n"/>
      <c r="J119" s="74" t="n"/>
    </row>
    <row r="120" ht="18" customHeight="1" s="90">
      <c r="A120" s="73" t="n"/>
      <c r="B120" s="29" t="n"/>
      <c r="C120" s="30" t="n"/>
      <c r="D120" s="12" t="n"/>
      <c r="E120" s="12" t="n"/>
      <c r="F120" s="13">
        <f>IFERROR(IF(AND(D120&lt;&gt;"",E120&lt;&gt;""),E120/D120,""),"")</f>
        <v/>
      </c>
      <c r="G120" s="30" t="n"/>
      <c r="H120" s="30" t="n"/>
      <c r="I120" s="64" t="n"/>
      <c r="J120" s="74" t="n"/>
    </row>
    <row r="121" ht="18" customHeight="1" s="90">
      <c r="A121" s="73" t="n"/>
      <c r="B121" s="29" t="n"/>
      <c r="C121" s="30" t="n"/>
      <c r="D121" s="12" t="n"/>
      <c r="E121" s="12" t="n"/>
      <c r="F121" s="13">
        <f>IFERROR(IF(AND(D121&lt;&gt;"",E121&lt;&gt;""),E121/D121,""),"")</f>
        <v/>
      </c>
      <c r="G121" s="30" t="n"/>
      <c r="H121" s="30" t="n"/>
      <c r="I121" s="64" t="n"/>
      <c r="J121" s="74" t="n"/>
    </row>
    <row r="122" ht="18" customHeight="1" s="90">
      <c r="A122" s="73" t="n"/>
      <c r="B122" s="29" t="n"/>
      <c r="C122" s="30" t="n"/>
      <c r="D122" s="12" t="n"/>
      <c r="E122" s="12" t="n"/>
      <c r="F122" s="13">
        <f>IFERROR(IF(AND(D122&lt;&gt;"",E122&lt;&gt;""),E122/D122,""),"")</f>
        <v/>
      </c>
      <c r="G122" s="30" t="n"/>
      <c r="H122" s="30" t="n"/>
      <c r="I122" s="64" t="n"/>
      <c r="J122" s="74" t="n"/>
    </row>
    <row r="123" ht="18" customHeight="1" s="90">
      <c r="A123" s="73" t="n"/>
      <c r="B123" s="29" t="n"/>
      <c r="C123" s="30" t="n"/>
      <c r="D123" s="12" t="n"/>
      <c r="E123" s="12" t="n"/>
      <c r="F123" s="13">
        <f>IFERROR(IF(AND(D123&lt;&gt;"",E123&lt;&gt;""),E123/D123,""),"")</f>
        <v/>
      </c>
      <c r="G123" s="30" t="n"/>
      <c r="H123" s="30" t="n"/>
      <c r="I123" s="64" t="n"/>
      <c r="J123" s="74" t="n"/>
    </row>
    <row r="124" ht="18" customHeight="1" s="90">
      <c r="A124" s="73" t="n"/>
      <c r="B124" s="29" t="n"/>
      <c r="C124" s="30" t="n"/>
      <c r="D124" s="12" t="n"/>
      <c r="E124" s="12" t="n"/>
      <c r="F124" s="13">
        <f>IFERROR(IF(AND(D124&lt;&gt;"",E124&lt;&gt;""),E124/D124,""),"")</f>
        <v/>
      </c>
      <c r="G124" s="30" t="n"/>
      <c r="H124" s="30" t="n"/>
      <c r="I124" s="64" t="n"/>
      <c r="J124" s="74" t="n"/>
    </row>
    <row r="125" ht="18" customHeight="1" s="90">
      <c r="A125" s="73" t="n"/>
      <c r="B125" s="29" t="n"/>
      <c r="C125" s="30" t="n"/>
      <c r="D125" s="12" t="n"/>
      <c r="E125" s="12" t="n"/>
      <c r="F125" s="13">
        <f>IFERROR(IF(AND(D125&lt;&gt;"",E125&lt;&gt;""),E125/D125,""),"")</f>
        <v/>
      </c>
      <c r="G125" s="30" t="n"/>
      <c r="H125" s="30" t="n"/>
      <c r="I125" s="64" t="n"/>
      <c r="J125" s="74" t="n"/>
    </row>
    <row r="126" ht="18" customHeight="1" s="90">
      <c r="A126" s="73" t="n"/>
      <c r="B126" s="29" t="n"/>
      <c r="C126" s="30" t="n"/>
      <c r="D126" s="12" t="n"/>
      <c r="E126" s="12" t="n"/>
      <c r="F126" s="13">
        <f>IFERROR(IF(AND(D126&lt;&gt;"",E126&lt;&gt;""),E126/D126,""),"")</f>
        <v/>
      </c>
      <c r="G126" s="30" t="n"/>
      <c r="H126" s="30" t="n"/>
      <c r="I126" s="64" t="n"/>
      <c r="J126" s="74" t="n"/>
    </row>
    <row r="127" ht="18" customHeight="1" s="90">
      <c r="A127" s="73" t="n"/>
      <c r="B127" s="29" t="n"/>
      <c r="C127" s="30" t="n"/>
      <c r="D127" s="12" t="n"/>
      <c r="E127" s="12" t="n"/>
      <c r="F127" s="13">
        <f>IFERROR(IF(AND(D127&lt;&gt;"",E127&lt;&gt;""),E127/D127,""),"")</f>
        <v/>
      </c>
      <c r="G127" s="30" t="n"/>
      <c r="H127" s="30" t="n"/>
      <c r="I127" s="64" t="n"/>
      <c r="J127" s="74" t="n"/>
    </row>
    <row r="128" ht="18" customHeight="1" s="90">
      <c r="A128" s="73" t="n"/>
      <c r="B128" s="29" t="n"/>
      <c r="C128" s="30" t="n"/>
      <c r="D128" s="12" t="n"/>
      <c r="E128" s="12" t="n"/>
      <c r="F128" s="13">
        <f>IFERROR(IF(AND(D128&lt;&gt;"",E128&lt;&gt;""),E128/D128,""),"")</f>
        <v/>
      </c>
      <c r="G128" s="30" t="n"/>
      <c r="H128" s="30" t="n"/>
      <c r="I128" s="64" t="n"/>
      <c r="J128" s="74" t="n"/>
    </row>
    <row r="129" ht="18" customHeight="1" s="90">
      <c r="A129" s="73" t="n"/>
      <c r="B129" s="29" t="n"/>
      <c r="C129" s="30" t="n"/>
      <c r="D129" s="12" t="n"/>
      <c r="E129" s="12" t="n"/>
      <c r="F129" s="13">
        <f>IFERROR(IF(AND(D129&lt;&gt;"",E129&lt;&gt;""),E129/D129,""),"")</f>
        <v/>
      </c>
      <c r="G129" s="30" t="n"/>
      <c r="H129" s="30" t="n"/>
      <c r="I129" s="64" t="n"/>
      <c r="J129" s="74" t="n"/>
    </row>
    <row r="130" ht="18" customHeight="1" s="90">
      <c r="A130" s="73" t="n"/>
      <c r="B130" s="29" t="n"/>
      <c r="C130" s="30" t="n"/>
      <c r="D130" s="12" t="n"/>
      <c r="E130" s="12" t="n"/>
      <c r="F130" s="13">
        <f>IFERROR(IF(AND(D130&lt;&gt;"",E130&lt;&gt;""),E130/D130,""),"")</f>
        <v/>
      </c>
      <c r="G130" s="30" t="n"/>
      <c r="H130" s="30" t="n"/>
      <c r="I130" s="64" t="n"/>
      <c r="J130" s="74" t="n"/>
    </row>
    <row r="131" ht="18" customHeight="1" s="90">
      <c r="A131" s="73" t="n"/>
      <c r="B131" s="29" t="n"/>
      <c r="C131" s="30" t="n"/>
      <c r="D131" s="12" t="n"/>
      <c r="E131" s="12" t="n"/>
      <c r="F131" s="13">
        <f>IFERROR(IF(AND(D131&lt;&gt;"",E131&lt;&gt;""),E131/D131,""),"")</f>
        <v/>
      </c>
      <c r="G131" s="30" t="n"/>
      <c r="H131" s="30" t="n"/>
      <c r="I131" s="64" t="n"/>
      <c r="J131" s="74" t="n"/>
    </row>
    <row r="132" ht="18" customHeight="1" s="90">
      <c r="A132" s="73" t="n"/>
      <c r="B132" s="29" t="n"/>
      <c r="C132" s="30" t="n"/>
      <c r="D132" s="12" t="n"/>
      <c r="E132" s="12" t="n"/>
      <c r="F132" s="13">
        <f>IFERROR(IF(AND(D132&lt;&gt;"",E132&lt;&gt;""),E132/D132,""),"")</f>
        <v/>
      </c>
      <c r="G132" s="30" t="n"/>
      <c r="H132" s="30" t="n"/>
      <c r="I132" s="64" t="n"/>
      <c r="J132" s="74" t="n"/>
    </row>
    <row r="133" ht="18" customHeight="1" s="90">
      <c r="A133" s="73" t="n"/>
      <c r="B133" s="29" t="n"/>
      <c r="C133" s="30" t="n"/>
      <c r="D133" s="12" t="n"/>
      <c r="E133" s="12" t="n"/>
      <c r="F133" s="13">
        <f>IFERROR(IF(AND(D133&lt;&gt;"",E133&lt;&gt;""),E133/D133,""),"")</f>
        <v/>
      </c>
      <c r="G133" s="30" t="n"/>
      <c r="H133" s="30" t="n"/>
      <c r="I133" s="64" t="n"/>
      <c r="J133" s="74" t="n"/>
    </row>
    <row r="134" ht="18" customHeight="1" s="90">
      <c r="A134" s="73" t="n"/>
      <c r="B134" s="29" t="n"/>
      <c r="C134" s="30" t="n"/>
      <c r="D134" s="12" t="n"/>
      <c r="E134" s="12" t="n"/>
      <c r="F134" s="13">
        <f>IFERROR(IF(AND(D134&lt;&gt;"",E134&lt;&gt;""),E134/D134,""),"")</f>
        <v/>
      </c>
      <c r="G134" s="30" t="n"/>
      <c r="H134" s="30" t="n"/>
      <c r="I134" s="64" t="n"/>
      <c r="J134" s="74" t="n"/>
    </row>
    <row r="135" ht="18" customHeight="1" s="90">
      <c r="A135" s="73" t="n"/>
      <c r="B135" s="29" t="n"/>
      <c r="C135" s="30" t="n"/>
      <c r="D135" s="12" t="n"/>
      <c r="E135" s="12" t="n"/>
      <c r="F135" s="13">
        <f>IFERROR(IF(AND(D135&lt;&gt;"",E135&lt;&gt;""),E135/D135,""),"")</f>
        <v/>
      </c>
      <c r="G135" s="30" t="n"/>
      <c r="H135" s="30" t="n"/>
      <c r="I135" s="64" t="n"/>
      <c r="J135" s="74" t="n"/>
    </row>
    <row r="136" ht="18" customHeight="1" s="90">
      <c r="A136" s="73" t="n"/>
      <c r="B136" s="29" t="n"/>
      <c r="C136" s="30" t="n"/>
      <c r="D136" s="12" t="n"/>
      <c r="E136" s="12" t="n"/>
      <c r="F136" s="13">
        <f>IFERROR(IF(AND(D136&lt;&gt;"",E136&lt;&gt;""),E136/D136,""),"")</f>
        <v/>
      </c>
      <c r="G136" s="30" t="n"/>
      <c r="H136" s="30" t="n"/>
      <c r="I136" s="64" t="n"/>
      <c r="J136" s="74" t="n"/>
    </row>
    <row r="137" ht="18" customHeight="1" s="90">
      <c r="A137" s="73" t="n"/>
      <c r="B137" s="29" t="n"/>
      <c r="C137" s="30" t="n"/>
      <c r="D137" s="12" t="n"/>
      <c r="E137" s="12" t="n"/>
      <c r="F137" s="13">
        <f>IFERROR(IF(AND(D137&lt;&gt;"",E137&lt;&gt;""),E137/D137,""),"")</f>
        <v/>
      </c>
      <c r="G137" s="30" t="n"/>
      <c r="H137" s="30" t="n"/>
      <c r="I137" s="64" t="n"/>
      <c r="J137" s="74" t="n"/>
    </row>
    <row r="138" ht="18" customHeight="1" s="90">
      <c r="A138" s="73" t="n"/>
      <c r="B138" s="29" t="n"/>
      <c r="C138" s="30" t="n"/>
      <c r="D138" s="12" t="n"/>
      <c r="E138" s="12" t="n"/>
      <c r="F138" s="13">
        <f>IFERROR(IF(AND(D138&lt;&gt;"",E138&lt;&gt;""),E138/D138,""),"")</f>
        <v/>
      </c>
      <c r="G138" s="30" t="n"/>
      <c r="H138" s="30" t="n"/>
      <c r="I138" s="64" t="n"/>
      <c r="J138" s="74" t="n"/>
    </row>
    <row r="139" ht="18" customHeight="1" s="90">
      <c r="A139" s="73" t="n"/>
      <c r="B139" s="29" t="n"/>
      <c r="C139" s="30" t="n"/>
      <c r="D139" s="12" t="n"/>
      <c r="E139" s="12" t="n"/>
      <c r="F139" s="13">
        <f>IFERROR(IF(AND(D139&lt;&gt;"",E139&lt;&gt;""),E139/D139,""),"")</f>
        <v/>
      </c>
      <c r="G139" s="30" t="n"/>
      <c r="H139" s="30" t="n"/>
      <c r="I139" s="64" t="n"/>
      <c r="J139" s="74" t="n"/>
    </row>
    <row r="140" ht="18" customHeight="1" s="90">
      <c r="A140" s="73" t="n"/>
      <c r="B140" s="29" t="n"/>
      <c r="C140" s="30" t="n"/>
      <c r="D140" s="12" t="n"/>
      <c r="E140" s="12" t="n"/>
      <c r="F140" s="13">
        <f>IFERROR(IF(AND(D140&lt;&gt;"",E140&lt;&gt;""),E140/D140,""),"")</f>
        <v/>
      </c>
      <c r="G140" s="30" t="n"/>
      <c r="H140" s="30" t="n"/>
      <c r="I140" s="64" t="n"/>
      <c r="J140" s="74" t="n"/>
    </row>
    <row r="141" ht="18" customHeight="1" s="90">
      <c r="A141" s="73" t="n"/>
      <c r="B141" s="29" t="n"/>
      <c r="C141" s="30" t="n"/>
      <c r="D141" s="12" t="n"/>
      <c r="E141" s="12" t="n"/>
      <c r="F141" s="13">
        <f>IFERROR(IF(AND(D141&lt;&gt;"",E141&lt;&gt;""),E141/D141,""),"")</f>
        <v/>
      </c>
      <c r="G141" s="30" t="n"/>
      <c r="H141" s="30" t="n"/>
      <c r="I141" s="64" t="n"/>
      <c r="J141" s="74" t="n"/>
    </row>
    <row r="142" ht="18" customHeight="1" s="90">
      <c r="A142" s="73" t="n"/>
      <c r="B142" s="29" t="n"/>
      <c r="C142" s="30" t="n"/>
      <c r="D142" s="12" t="n"/>
      <c r="E142" s="12" t="n"/>
      <c r="F142" s="13">
        <f>IFERROR(IF(AND(D142&lt;&gt;"",E142&lt;&gt;""),E142/D142,""),"")</f>
        <v/>
      </c>
      <c r="G142" s="30" t="n"/>
      <c r="H142" s="30" t="n"/>
      <c r="I142" s="64" t="n"/>
      <c r="J142" s="74" t="n"/>
    </row>
    <row r="143" ht="18" customHeight="1" s="90">
      <c r="A143" s="73" t="n"/>
      <c r="B143" s="29" t="n"/>
      <c r="C143" s="30" t="n"/>
      <c r="D143" s="12" t="n"/>
      <c r="E143" s="12" t="n"/>
      <c r="F143" s="13">
        <f>IFERROR(IF(AND(D143&lt;&gt;"",E143&lt;&gt;""),E143/D143,""),"")</f>
        <v/>
      </c>
      <c r="G143" s="30" t="n"/>
      <c r="H143" s="30" t="n"/>
      <c r="I143" s="64" t="n"/>
      <c r="J143" s="74" t="n"/>
    </row>
    <row r="144" ht="18" customHeight="1" s="90">
      <c r="A144" s="73" t="n"/>
      <c r="B144" s="29" t="n"/>
      <c r="C144" s="30" t="n"/>
      <c r="D144" s="12" t="n"/>
      <c r="E144" s="12" t="n"/>
      <c r="F144" s="13">
        <f>IFERROR(IF(AND(D144&lt;&gt;"",E144&lt;&gt;""),E144/D144,""),"")</f>
        <v/>
      </c>
      <c r="G144" s="30" t="n"/>
      <c r="H144" s="30" t="n"/>
      <c r="I144" s="64" t="n"/>
      <c r="J144" s="74" t="n"/>
    </row>
    <row r="145" ht="18" customHeight="1" s="90">
      <c r="A145" s="73" t="n"/>
      <c r="B145" s="29" t="n"/>
      <c r="C145" s="30" t="n"/>
      <c r="D145" s="12" t="n"/>
      <c r="E145" s="12" t="n"/>
      <c r="F145" s="13">
        <f>IFERROR(IF(AND(D145&lt;&gt;"",E145&lt;&gt;""),E145/D145,""),"")</f>
        <v/>
      </c>
      <c r="G145" s="30" t="n"/>
      <c r="H145" s="30" t="n"/>
      <c r="I145" s="64" t="n"/>
      <c r="J145" s="31" t="n"/>
    </row>
    <row r="146" ht="18" customHeight="1" s="90">
      <c r="A146" s="73" t="n"/>
      <c r="B146" s="29" t="n"/>
      <c r="C146" s="30" t="n"/>
      <c r="D146" s="12" t="n"/>
      <c r="E146" s="12" t="n"/>
      <c r="F146" s="13">
        <f>IFERROR(IF(AND(D146&lt;&gt;"",E146&lt;&gt;""),E146/D146,""),"")</f>
        <v/>
      </c>
      <c r="G146" s="30" t="n"/>
      <c r="H146" s="30" t="n"/>
      <c r="I146" s="64" t="n"/>
      <c r="J146" s="31" t="n"/>
    </row>
    <row r="147" ht="18" customHeight="1" s="90">
      <c r="A147" s="73" t="n"/>
      <c r="B147" s="29" t="n"/>
      <c r="C147" s="30" t="n"/>
      <c r="D147" s="12" t="n"/>
      <c r="E147" s="12" t="n"/>
      <c r="F147" s="13">
        <f>IFERROR(IF(AND(D147&lt;&gt;"",E147&lt;&gt;""),E147/D147,""),"")</f>
        <v/>
      </c>
      <c r="G147" s="30" t="n"/>
      <c r="H147" s="30" t="n"/>
      <c r="I147" s="64" t="n"/>
      <c r="J147" s="31" t="n"/>
    </row>
    <row r="148" ht="18" customHeight="1" s="90">
      <c r="A148" s="73" t="n"/>
      <c r="B148" s="29" t="n"/>
      <c r="C148" s="30" t="n"/>
      <c r="D148" s="12" t="n"/>
      <c r="E148" s="12" t="n"/>
      <c r="F148" s="13">
        <f>IFERROR(IF(AND(D148&lt;&gt;"",E148&lt;&gt;""),E148/D148,""),"")</f>
        <v/>
      </c>
      <c r="G148" s="30" t="n"/>
      <c r="H148" s="30" t="n"/>
      <c r="I148" s="64" t="n"/>
      <c r="J148" s="31" t="n"/>
    </row>
    <row r="149" ht="18" customHeight="1" s="90">
      <c r="A149" s="73" t="n"/>
      <c r="B149" s="29" t="n"/>
      <c r="C149" s="30" t="n"/>
      <c r="D149" s="12" t="n"/>
      <c r="E149" s="12" t="n"/>
      <c r="F149" s="13">
        <f>IFERROR(IF(AND(D149&lt;&gt;"",E149&lt;&gt;""),E149/D149,""),"")</f>
        <v/>
      </c>
      <c r="G149" s="30" t="n"/>
      <c r="H149" s="30" t="n"/>
      <c r="I149" s="64" t="n"/>
      <c r="J149" s="31" t="n"/>
    </row>
    <row r="150" ht="18" customHeight="1" s="90">
      <c r="A150" s="73" t="n"/>
      <c r="B150" s="29" t="n"/>
      <c r="C150" s="30" t="n"/>
      <c r="D150" s="12" t="n"/>
      <c r="E150" s="12" t="n"/>
      <c r="F150" s="13">
        <f>IFERROR(IF(AND(D150&lt;&gt;"",E150&lt;&gt;""),E150/D150,""),"")</f>
        <v/>
      </c>
      <c r="G150" s="30" t="n"/>
      <c r="H150" s="30" t="n"/>
      <c r="I150" s="64" t="n"/>
      <c r="J150" s="31" t="n"/>
    </row>
    <row r="151" ht="18" customHeight="1" s="90">
      <c r="A151" s="73" t="n"/>
      <c r="B151" s="29" t="n"/>
      <c r="C151" s="30" t="n"/>
      <c r="D151" s="12" t="n"/>
      <c r="E151" s="12" t="n"/>
      <c r="F151" s="13">
        <f>IFERROR(IF(AND(D151&lt;&gt;"",E151&lt;&gt;""),E151/D151,""),"")</f>
        <v/>
      </c>
      <c r="G151" s="30" t="n"/>
      <c r="H151" s="30" t="n"/>
      <c r="I151" s="64" t="n"/>
      <c r="J151" s="31" t="n"/>
    </row>
    <row r="152" ht="18" customHeight="1" s="90">
      <c r="A152" s="73" t="n"/>
      <c r="B152" s="29" t="n"/>
      <c r="C152" s="30" t="n"/>
      <c r="D152" s="12" t="n"/>
      <c r="E152" s="12" t="n"/>
      <c r="F152" s="13">
        <f>IFERROR(IF(AND(D152&lt;&gt;"",E152&lt;&gt;""),E152/D152,""),"")</f>
        <v/>
      </c>
      <c r="G152" s="30" t="n"/>
      <c r="H152" s="30" t="n"/>
      <c r="I152" s="64" t="n"/>
      <c r="J152" s="31" t="n"/>
    </row>
    <row r="153" ht="18" customHeight="1" s="90">
      <c r="A153" s="73" t="n"/>
      <c r="B153" s="29" t="n"/>
      <c r="C153" s="30" t="n"/>
      <c r="D153" s="12" t="n"/>
      <c r="E153" s="12" t="n"/>
      <c r="F153" s="13">
        <f>IFERROR(IF(AND(D153&lt;&gt;"",E153&lt;&gt;""),E153/D153,""),"")</f>
        <v/>
      </c>
      <c r="G153" s="30" t="n"/>
      <c r="H153" s="30" t="n"/>
      <c r="I153" s="64" t="n"/>
      <c r="J153" s="31" t="n"/>
    </row>
    <row r="154" ht="18" customHeight="1" s="90">
      <c r="A154" s="73" t="n"/>
      <c r="B154" s="29" t="n"/>
      <c r="C154" s="30" t="n"/>
      <c r="D154" s="12" t="n"/>
      <c r="E154" s="12" t="n"/>
      <c r="F154" s="13">
        <f>IFERROR(IF(AND(D154&lt;&gt;"",E154&lt;&gt;""),E154/D154,""),"")</f>
        <v/>
      </c>
      <c r="G154" s="30" t="n"/>
      <c r="H154" s="30" t="n"/>
      <c r="I154" s="64" t="n"/>
      <c r="J154" s="31" t="n"/>
    </row>
    <row r="155" ht="18" customHeight="1" s="90">
      <c r="A155" s="73" t="n"/>
      <c r="B155" s="29" t="n"/>
      <c r="C155" s="30" t="n"/>
      <c r="D155" s="12" t="n"/>
      <c r="E155" s="12" t="n"/>
      <c r="F155" s="13">
        <f>IFERROR(IF(AND(D155&lt;&gt;"",E155&lt;&gt;""),E155/D155,""),"")</f>
        <v/>
      </c>
      <c r="G155" s="30" t="n"/>
      <c r="H155" s="30" t="n"/>
      <c r="I155" s="64" t="n"/>
      <c r="J155" s="31" t="n"/>
    </row>
    <row r="156" ht="18" customHeight="1" s="90">
      <c r="A156" s="73" t="n"/>
      <c r="B156" s="29" t="n"/>
      <c r="C156" s="30" t="n"/>
      <c r="D156" s="12" t="n"/>
      <c r="E156" s="12" t="n"/>
      <c r="F156" s="13">
        <f>IFERROR(IF(AND(D156&lt;&gt;"",E156&lt;&gt;""),E156/D156,""),"")</f>
        <v/>
      </c>
      <c r="G156" s="30" t="n"/>
      <c r="H156" s="30" t="n"/>
      <c r="I156" s="64" t="n"/>
      <c r="J156" s="31" t="n"/>
    </row>
    <row r="157" ht="18" customHeight="1" s="90">
      <c r="A157" s="73" t="n"/>
      <c r="B157" s="29" t="n"/>
      <c r="C157" s="30" t="n"/>
      <c r="D157" s="12" t="n"/>
      <c r="E157" s="12" t="n"/>
      <c r="F157" s="13">
        <f>IFERROR(IF(AND(D157&lt;&gt;"",E157&lt;&gt;""),E157/D157,""),"")</f>
        <v/>
      </c>
      <c r="G157" s="30" t="n"/>
      <c r="H157" s="30" t="n"/>
      <c r="I157" s="64" t="n"/>
      <c r="J157" s="31" t="n"/>
    </row>
    <row r="158" ht="18" customHeight="1" s="90">
      <c r="A158" s="73" t="n"/>
      <c r="B158" s="29" t="n"/>
      <c r="C158" s="30" t="n"/>
      <c r="D158" s="12" t="n"/>
      <c r="E158" s="12" t="n"/>
      <c r="F158" s="13">
        <f>IFERROR(IF(AND(D158&lt;&gt;"",E158&lt;&gt;""),E158/D158,""),"")</f>
        <v/>
      </c>
      <c r="G158" s="30" t="n"/>
      <c r="H158" s="30" t="n"/>
      <c r="I158" s="64" t="n"/>
      <c r="J158" s="31" t="n"/>
    </row>
    <row r="159" ht="18" customHeight="1" s="90">
      <c r="A159" s="73" t="n"/>
      <c r="B159" s="29" t="n"/>
      <c r="C159" s="30" t="n"/>
      <c r="D159" s="12" t="n"/>
      <c r="E159" s="12" t="n"/>
      <c r="F159" s="13">
        <f>IFERROR(IF(AND(D159&lt;&gt;"",E159&lt;&gt;""),E159/D159,""),"")</f>
        <v/>
      </c>
      <c r="G159" s="30" t="n"/>
      <c r="H159" s="30" t="n"/>
      <c r="I159" s="64" t="n"/>
      <c r="J159" s="31" t="n"/>
    </row>
    <row r="160" ht="18" customHeight="1" s="90">
      <c r="A160" s="73" t="n"/>
      <c r="B160" s="29" t="n"/>
      <c r="C160" s="30" t="n"/>
      <c r="D160" s="12" t="n"/>
      <c r="E160" s="12" t="n"/>
      <c r="F160" s="13">
        <f>IFERROR(IF(AND(D160&lt;&gt;"",E160&lt;&gt;""),E160/D160,""),"")</f>
        <v/>
      </c>
      <c r="G160" s="30" t="n"/>
      <c r="H160" s="30" t="n"/>
      <c r="I160" s="64" t="n"/>
      <c r="J160" s="31" t="n"/>
    </row>
    <row r="161" ht="18" customHeight="1" s="90">
      <c r="A161" s="73" t="n"/>
      <c r="B161" s="29" t="n"/>
      <c r="C161" s="30" t="n"/>
      <c r="D161" s="12" t="n"/>
      <c r="E161" s="12" t="n"/>
      <c r="F161" s="13">
        <f>IFERROR(IF(AND(D161&lt;&gt;"",E161&lt;&gt;""),E161/D161,""),"")</f>
        <v/>
      </c>
      <c r="G161" s="30" t="n"/>
      <c r="H161" s="30" t="n"/>
      <c r="I161" s="64" t="n"/>
      <c r="J161" s="31" t="n"/>
    </row>
    <row r="162" ht="18" customHeight="1" s="90">
      <c r="A162" s="73" t="n"/>
      <c r="B162" s="29" t="n"/>
      <c r="C162" s="30" t="n"/>
      <c r="D162" s="12" t="n"/>
      <c r="E162" s="12" t="n"/>
      <c r="F162" s="13">
        <f>IFERROR(IF(AND(D162&lt;&gt;"",E162&lt;&gt;""),E162/D162,""),"")</f>
        <v/>
      </c>
      <c r="G162" s="30" t="n"/>
      <c r="H162" s="30" t="n"/>
      <c r="I162" s="64" t="n"/>
      <c r="J162" s="31" t="n"/>
    </row>
    <row r="163" ht="18" customHeight="1" s="90">
      <c r="A163" s="73" t="n"/>
      <c r="B163" s="29" t="n"/>
      <c r="C163" s="30" t="n"/>
      <c r="D163" s="12" t="n"/>
      <c r="E163" s="12" t="n"/>
      <c r="F163" s="13">
        <f>IFERROR(IF(AND(D163&lt;&gt;"",E163&lt;&gt;""),E163/D163,""),"")</f>
        <v/>
      </c>
      <c r="G163" s="30" t="n"/>
      <c r="H163" s="30" t="n"/>
      <c r="I163" s="64" t="n"/>
      <c r="J163" s="31" t="n"/>
    </row>
    <row r="164" ht="18" customHeight="1" s="90">
      <c r="A164" s="73" t="n"/>
      <c r="B164" s="29" t="n"/>
      <c r="C164" s="30" t="n"/>
      <c r="D164" s="12" t="n"/>
      <c r="E164" s="12" t="n"/>
      <c r="F164" s="13">
        <f>IFERROR(IF(AND(D164&lt;&gt;"",E164&lt;&gt;""),E164/D164,""),"")</f>
        <v/>
      </c>
      <c r="G164" s="30" t="n"/>
      <c r="H164" s="30" t="n"/>
      <c r="I164" s="64" t="n"/>
      <c r="J164" s="31" t="n"/>
    </row>
    <row r="165" ht="18" customHeight="1" s="90">
      <c r="A165" s="73" t="n"/>
      <c r="B165" s="29" t="n"/>
      <c r="C165" s="30" t="n"/>
      <c r="D165" s="12" t="n"/>
      <c r="E165" s="12" t="n"/>
      <c r="F165" s="13">
        <f>IFERROR(IF(AND(D165&lt;&gt;"",E165&lt;&gt;""),E165/D165,""),"")</f>
        <v/>
      </c>
      <c r="G165" s="30" t="n"/>
      <c r="H165" s="30" t="n"/>
      <c r="I165" s="64" t="n"/>
      <c r="J165" s="31" t="n"/>
    </row>
    <row r="166" ht="18" customHeight="1" s="90">
      <c r="A166" s="73" t="n"/>
      <c r="B166" s="29" t="n"/>
      <c r="C166" s="30" t="n"/>
      <c r="D166" s="12" t="n"/>
      <c r="E166" s="12" t="n"/>
      <c r="F166" s="13">
        <f>IFERROR(IF(AND(D166&lt;&gt;"",E166&lt;&gt;""),E166/D166,""),"")</f>
        <v/>
      </c>
      <c r="G166" s="30" t="n"/>
      <c r="H166" s="30" t="n"/>
      <c r="I166" s="64" t="n"/>
      <c r="J166" s="31" t="n"/>
    </row>
    <row r="167" ht="18" customHeight="1" s="90">
      <c r="A167" s="73" t="n"/>
      <c r="B167" s="29" t="n"/>
      <c r="C167" s="30" t="n"/>
      <c r="D167" s="12" t="n"/>
      <c r="E167" s="12" t="n"/>
      <c r="F167" s="13">
        <f>IFERROR(IF(AND(D167&lt;&gt;"",E167&lt;&gt;""),E167/D167,""),"")</f>
        <v/>
      </c>
      <c r="G167" s="30" t="n"/>
      <c r="H167" s="30" t="n"/>
      <c r="I167" s="64" t="n"/>
      <c r="J167" s="31" t="n"/>
    </row>
    <row r="168" ht="18" customHeight="1" s="90">
      <c r="A168" s="73" t="n"/>
      <c r="B168" s="29" t="n"/>
      <c r="C168" s="30" t="n"/>
      <c r="D168" s="12" t="n"/>
      <c r="E168" s="12" t="n"/>
      <c r="F168" s="13">
        <f>IFERROR(IF(AND(D168&lt;&gt;"",E168&lt;&gt;""),E168/D168,""),"")</f>
        <v/>
      </c>
      <c r="G168" s="30" t="n"/>
      <c r="H168" s="30" t="n"/>
      <c r="I168" s="64" t="n"/>
      <c r="J168" s="31" t="n"/>
    </row>
    <row r="169" ht="18" customHeight="1" s="90">
      <c r="A169" s="73" t="n"/>
      <c r="B169" s="29" t="n"/>
      <c r="C169" s="30" t="n"/>
      <c r="D169" s="12" t="n"/>
      <c r="E169" s="12" t="n"/>
      <c r="F169" s="13">
        <f>IFERROR(IF(AND(D169&lt;&gt;"",E169&lt;&gt;""),E169/D169,""),"")</f>
        <v/>
      </c>
      <c r="G169" s="30" t="n"/>
      <c r="H169" s="30" t="n"/>
      <c r="I169" s="64" t="n"/>
      <c r="J169" s="31" t="n"/>
    </row>
    <row r="170" ht="18" customHeight="1" s="90">
      <c r="A170" s="73" t="n"/>
      <c r="B170" s="29" t="n"/>
      <c r="C170" s="30" t="n"/>
      <c r="D170" s="12" t="n"/>
      <c r="E170" s="12" t="n"/>
      <c r="F170" s="13">
        <f>IFERROR(IF(AND(D170&lt;&gt;"",E170&lt;&gt;""),E170/D170,""),"")</f>
        <v/>
      </c>
      <c r="G170" s="30" t="n"/>
      <c r="H170" s="30" t="n"/>
      <c r="I170" s="64" t="n"/>
      <c r="J170" s="31" t="n"/>
    </row>
    <row r="171" ht="18" customHeight="1" s="90">
      <c r="A171" s="73" t="n"/>
      <c r="B171" s="29" t="n"/>
      <c r="C171" s="30" t="n"/>
      <c r="D171" s="12" t="n"/>
      <c r="E171" s="12" t="n"/>
      <c r="F171" s="13">
        <f>IFERROR(IF(AND(D171&lt;&gt;"",E171&lt;&gt;""),E171/D171,""),"")</f>
        <v/>
      </c>
      <c r="G171" s="30" t="n"/>
      <c r="H171" s="30" t="n"/>
      <c r="I171" s="64" t="n"/>
      <c r="J171" s="31" t="n"/>
    </row>
    <row r="172" ht="18" customHeight="1" s="90">
      <c r="A172" s="73" t="n"/>
      <c r="B172" s="29" t="n"/>
      <c r="C172" s="30" t="n"/>
      <c r="D172" s="12" t="n"/>
      <c r="E172" s="12" t="n"/>
      <c r="F172" s="13">
        <f>IFERROR(IF(AND(D172&lt;&gt;"",E172&lt;&gt;""),E172/D172,""),"")</f>
        <v/>
      </c>
      <c r="G172" s="30" t="n"/>
      <c r="H172" s="30" t="n"/>
      <c r="I172" s="64" t="n"/>
      <c r="J172" s="31" t="n"/>
    </row>
    <row r="173" ht="18" customHeight="1" s="90">
      <c r="A173" s="73" t="n"/>
      <c r="B173" s="29" t="n"/>
      <c r="C173" s="30" t="n"/>
      <c r="D173" s="12" t="n"/>
      <c r="E173" s="12" t="n"/>
      <c r="F173" s="13">
        <f>IFERROR(IF(AND(D173&lt;&gt;"",E173&lt;&gt;""),E173/D173,""),"")</f>
        <v/>
      </c>
      <c r="G173" s="30" t="n"/>
      <c r="H173" s="30" t="n"/>
      <c r="I173" s="64" t="n"/>
      <c r="J173" s="31" t="n"/>
    </row>
    <row r="174" ht="18" customHeight="1" s="90">
      <c r="A174" s="73" t="n"/>
      <c r="B174" s="29" t="n"/>
      <c r="C174" s="30" t="n"/>
      <c r="D174" s="12" t="n"/>
      <c r="E174" s="12" t="n"/>
      <c r="F174" s="13">
        <f>IFERROR(IF(AND(D174&lt;&gt;"",E174&lt;&gt;""),E174/D174,""),"")</f>
        <v/>
      </c>
      <c r="G174" s="30" t="n"/>
      <c r="H174" s="30" t="n"/>
      <c r="I174" s="64" t="n"/>
      <c r="J174" s="31" t="n"/>
    </row>
    <row r="175" ht="18" customHeight="1" s="90">
      <c r="A175" s="73" t="n"/>
      <c r="B175" s="29" t="n"/>
      <c r="C175" s="30" t="n"/>
      <c r="D175" s="12" t="n"/>
      <c r="E175" s="12" t="n"/>
      <c r="F175" s="13">
        <f>IFERROR(IF(AND(D175&lt;&gt;"",E175&lt;&gt;""),E175/D175,""),"")</f>
        <v/>
      </c>
      <c r="G175" s="30" t="n"/>
      <c r="H175" s="30" t="n"/>
      <c r="I175" s="64" t="n"/>
      <c r="J175" s="31" t="n"/>
    </row>
    <row r="176" ht="18" customHeight="1" s="90">
      <c r="A176" s="30" t="n"/>
      <c r="B176" s="29" t="n"/>
      <c r="C176" s="30" t="n"/>
      <c r="D176" s="12" t="n"/>
      <c r="E176" s="12" t="n"/>
      <c r="F176" s="13">
        <f>IFERROR(IF(AND(D176&lt;&gt;"",E176&lt;&gt;""),E176/D176,""),"")</f>
        <v/>
      </c>
      <c r="G176" s="30" t="n"/>
      <c r="H176" s="30" t="n"/>
      <c r="I176" s="64" t="n"/>
      <c r="J176" s="31" t="n"/>
    </row>
    <row r="177" ht="18" customHeight="1" s="90">
      <c r="A177" s="30" t="n"/>
      <c r="B177" s="29" t="n"/>
      <c r="C177" s="30" t="n"/>
      <c r="D177" s="12" t="n"/>
      <c r="E177" s="12" t="n"/>
      <c r="F177" s="13">
        <f>IFERROR(IF(AND(D177&lt;&gt;"",E177&lt;&gt;""),E177/D177,""),"")</f>
        <v/>
      </c>
      <c r="G177" s="30" t="n"/>
      <c r="H177" s="30" t="n"/>
      <c r="I177" s="64" t="n"/>
      <c r="J177" s="31" t="n"/>
    </row>
    <row r="178" ht="18" customHeight="1" s="90">
      <c r="A178" s="30" t="n"/>
      <c r="B178" s="29" t="n"/>
      <c r="C178" s="30" t="n"/>
      <c r="D178" s="12" t="n"/>
      <c r="E178" s="12" t="n"/>
      <c r="F178" s="13">
        <f>IFERROR(IF(AND(D178&lt;&gt;"",E178&lt;&gt;""),E178/D178,""),"")</f>
        <v/>
      </c>
      <c r="G178" s="30" t="n"/>
      <c r="H178" s="30" t="n"/>
      <c r="I178" s="64" t="n"/>
      <c r="J178" s="31" t="n"/>
    </row>
    <row r="179" ht="18" customHeight="1" s="90">
      <c r="A179" s="30" t="n"/>
      <c r="B179" s="29" t="n"/>
      <c r="C179" s="30" t="n"/>
      <c r="D179" s="12" t="n"/>
      <c r="E179" s="12" t="n"/>
      <c r="F179" s="13">
        <f>IFERROR(IF(AND(D179&lt;&gt;"",E179&lt;&gt;""),E179/D179,""),"")</f>
        <v/>
      </c>
      <c r="G179" s="30" t="n"/>
      <c r="H179" s="30" t="n"/>
      <c r="I179" s="64" t="n"/>
      <c r="J179" s="31" t="n"/>
    </row>
    <row r="180" ht="18" customHeight="1" s="90">
      <c r="A180" s="30" t="n"/>
      <c r="B180" s="29" t="n"/>
      <c r="C180" s="30" t="n"/>
      <c r="D180" s="12" t="n"/>
      <c r="E180" s="12" t="n"/>
      <c r="F180" s="13">
        <f>IFERROR(IF(AND(D180&lt;&gt;"",E180&lt;&gt;""),E180/D180,""),"")</f>
        <v/>
      </c>
      <c r="G180" s="30" t="n"/>
      <c r="H180" s="30" t="n"/>
      <c r="I180" s="64" t="n"/>
      <c r="J180" s="31" t="n"/>
    </row>
    <row r="181" ht="18" customHeight="1" s="90">
      <c r="A181" s="30" t="n"/>
      <c r="B181" s="29" t="n"/>
      <c r="C181" s="30" t="n"/>
      <c r="D181" s="12" t="n"/>
      <c r="E181" s="12" t="n"/>
      <c r="F181" s="13">
        <f>IFERROR(IF(AND(D181&lt;&gt;"",E181&lt;&gt;""),E181/D181,""),"")</f>
        <v/>
      </c>
      <c r="G181" s="30" t="n"/>
      <c r="H181" s="30" t="n"/>
      <c r="I181" s="64" t="n"/>
      <c r="J181" s="31" t="n"/>
    </row>
    <row r="182" ht="18" customHeight="1" s="90">
      <c r="A182" s="30" t="n"/>
      <c r="B182" s="29" t="n"/>
      <c r="C182" s="30" t="n"/>
      <c r="D182" s="12" t="n"/>
      <c r="E182" s="12" t="n"/>
      <c r="F182" s="13">
        <f>IFERROR(IF(AND(D182&lt;&gt;"",E182&lt;&gt;""),E182/D182,""),"")</f>
        <v/>
      </c>
      <c r="G182" s="30" t="n"/>
      <c r="H182" s="30" t="n"/>
      <c r="I182" s="64" t="n"/>
      <c r="J182" s="31" t="n"/>
    </row>
    <row r="183" ht="18" customHeight="1" s="90">
      <c r="A183" s="30" t="n"/>
      <c r="B183" s="29" t="n"/>
      <c r="C183" s="30" t="n"/>
      <c r="D183" s="12" t="n"/>
      <c r="E183" s="12" t="n"/>
      <c r="F183" s="13">
        <f>IFERROR(IF(AND(D183&lt;&gt;"",E183&lt;&gt;""),E183/D183,""),"")</f>
        <v/>
      </c>
      <c r="G183" s="30" t="n"/>
      <c r="H183" s="30" t="n"/>
      <c r="I183" s="64" t="n"/>
      <c r="J183" s="31" t="n"/>
    </row>
    <row r="184" ht="18" customHeight="1" s="90">
      <c r="A184" s="30" t="n"/>
      <c r="B184" s="29" t="n"/>
      <c r="C184" s="30" t="n"/>
      <c r="D184" s="12" t="n"/>
      <c r="E184" s="12" t="n"/>
      <c r="F184" s="13">
        <f>IFERROR(IF(AND(D184&lt;&gt;"",E184&lt;&gt;""),E184/D184,""),"")</f>
        <v/>
      </c>
      <c r="G184" s="30" t="n"/>
      <c r="H184" s="30" t="n"/>
      <c r="I184" s="64" t="n"/>
      <c r="J184" s="31" t="n"/>
    </row>
    <row r="185" ht="18" customHeight="1" s="90">
      <c r="A185" s="30" t="n"/>
      <c r="B185" s="29" t="n"/>
      <c r="C185" s="30" t="n"/>
      <c r="D185" s="12" t="n"/>
      <c r="E185" s="12" t="n"/>
      <c r="F185" s="13">
        <f>IFERROR(IF(AND(D185&lt;&gt;"",E185&lt;&gt;""),E185/D185,""),"")</f>
        <v/>
      </c>
      <c r="G185" s="30" t="n"/>
      <c r="H185" s="30" t="n"/>
      <c r="I185" s="64" t="n"/>
      <c r="J185" s="31" t="n"/>
    </row>
    <row r="186" ht="18" customHeight="1" s="90">
      <c r="A186" s="30" t="n"/>
      <c r="B186" s="29" t="n"/>
      <c r="C186" s="30" t="n"/>
      <c r="D186" s="12" t="n"/>
      <c r="E186" s="12" t="n"/>
      <c r="F186" s="13">
        <f>IFERROR(IF(AND(D186&lt;&gt;"",E186&lt;&gt;""),E186/D186,""),"")</f>
        <v/>
      </c>
      <c r="G186" s="30" t="n"/>
      <c r="H186" s="30" t="n"/>
      <c r="I186" s="64" t="n"/>
      <c r="J186" s="31" t="n"/>
    </row>
    <row r="187" ht="18" customHeight="1" s="90">
      <c r="A187" s="30" t="n"/>
      <c r="B187" s="29" t="n"/>
      <c r="C187" s="30" t="n"/>
      <c r="D187" s="12" t="n"/>
      <c r="E187" s="12" t="n"/>
      <c r="F187" s="13">
        <f>IFERROR(IF(AND(D187&lt;&gt;"",E187&lt;&gt;""),E187/D187,""),"")</f>
        <v/>
      </c>
      <c r="G187" s="30" t="n"/>
      <c r="H187" s="30" t="n"/>
      <c r="I187" s="64" t="n"/>
      <c r="J187" s="31" t="n"/>
    </row>
    <row r="188" ht="18" customHeight="1" s="90">
      <c r="A188" s="30" t="n"/>
      <c r="B188" s="29" t="n"/>
      <c r="C188" s="30" t="n"/>
      <c r="D188" s="12" t="n"/>
      <c r="E188" s="12" t="n"/>
      <c r="F188" s="13">
        <f>IFERROR(IF(AND(D188&lt;&gt;"",E188&lt;&gt;""),E188/D188,""),"")</f>
        <v/>
      </c>
      <c r="G188" s="30" t="n"/>
      <c r="H188" s="30" t="n"/>
      <c r="I188" s="64" t="n"/>
      <c r="J188" s="31" t="n"/>
    </row>
    <row r="189" ht="18" customHeight="1" s="90">
      <c r="A189" s="30" t="n"/>
      <c r="B189" s="29" t="n"/>
      <c r="C189" s="30" t="n"/>
      <c r="D189" s="12" t="n"/>
      <c r="E189" s="12" t="n"/>
      <c r="F189" s="13">
        <f>IFERROR(IF(AND(D189&lt;&gt;"",E189&lt;&gt;""),E189/D189,""),"")</f>
        <v/>
      </c>
      <c r="G189" s="30" t="n"/>
      <c r="H189" s="30" t="n"/>
      <c r="I189" s="64" t="n"/>
      <c r="J189" s="31" t="n"/>
    </row>
    <row r="190" ht="18" customHeight="1" s="90">
      <c r="A190" s="30" t="n"/>
      <c r="B190" s="29" t="n"/>
      <c r="C190" s="30" t="n"/>
      <c r="D190" s="12" t="n"/>
      <c r="E190" s="12" t="n"/>
      <c r="F190" s="13">
        <f>IFERROR(IF(AND(D190&lt;&gt;"",E190&lt;&gt;""),E190/D190,""),"")</f>
        <v/>
      </c>
      <c r="G190" s="30" t="n"/>
      <c r="H190" s="30" t="n"/>
      <c r="I190" s="64" t="n"/>
      <c r="J190" s="31" t="n"/>
    </row>
    <row r="191" ht="18" customHeight="1" s="90">
      <c r="A191" s="30" t="n"/>
      <c r="B191" s="29" t="n"/>
      <c r="C191" s="30" t="n"/>
      <c r="D191" s="12" t="n"/>
      <c r="E191" s="12" t="n"/>
      <c r="F191" s="13">
        <f>IFERROR(IF(AND(D191&lt;&gt;"",E191&lt;&gt;""),E191/D191,""),"")</f>
        <v/>
      </c>
      <c r="G191" s="30" t="n"/>
      <c r="H191" s="30" t="n"/>
      <c r="I191" s="64" t="n"/>
      <c r="J191" s="31" t="n"/>
    </row>
    <row r="192" ht="18" customHeight="1" s="90">
      <c r="A192" s="30" t="n"/>
      <c r="B192" s="29" t="n"/>
      <c r="C192" s="30" t="n"/>
      <c r="D192" s="12" t="n"/>
      <c r="E192" s="12" t="n"/>
      <c r="F192" s="13">
        <f>IFERROR(IF(AND(D192&lt;&gt;"",E192&lt;&gt;""),E192/D192,""),"")</f>
        <v/>
      </c>
      <c r="G192" s="30" t="n"/>
      <c r="H192" s="30" t="n"/>
      <c r="I192" s="64" t="n"/>
      <c r="J192" s="31" t="n"/>
    </row>
    <row r="193" ht="18" customHeight="1" s="90">
      <c r="A193" s="30" t="n"/>
      <c r="B193" s="29" t="n"/>
      <c r="C193" s="30" t="n"/>
      <c r="D193" s="12" t="n"/>
      <c r="E193" s="12" t="n"/>
      <c r="F193" s="13">
        <f>IFERROR(IF(AND(D193&lt;&gt;"",E193&lt;&gt;""),E193/D193,""),"")</f>
        <v/>
      </c>
      <c r="G193" s="30" t="n"/>
      <c r="H193" s="30" t="n"/>
      <c r="I193" s="64" t="n"/>
      <c r="J193" s="31" t="n"/>
    </row>
    <row r="194" ht="18" customHeight="1" s="90">
      <c r="A194" s="30" t="n"/>
      <c r="B194" s="29" t="n"/>
      <c r="C194" s="30" t="n"/>
      <c r="D194" s="12" t="n"/>
      <c r="E194" s="12" t="n"/>
      <c r="F194" s="13">
        <f>IFERROR(IF(AND(D194&lt;&gt;"",E194&lt;&gt;""),E194/D194,""),"")</f>
        <v/>
      </c>
      <c r="G194" s="30" t="n"/>
      <c r="H194" s="30" t="n"/>
      <c r="I194" s="64" t="n"/>
      <c r="J194" s="31" t="n"/>
    </row>
    <row r="195" ht="18" customHeight="1" s="90">
      <c r="A195" s="30" t="n"/>
      <c r="B195" s="29" t="n"/>
      <c r="C195" s="30" t="n"/>
      <c r="D195" s="12" t="n"/>
      <c r="E195" s="12" t="n"/>
      <c r="F195" s="13">
        <f>IFERROR(IF(AND(D195&lt;&gt;"",E195&lt;&gt;""),E195/D195,""),"")</f>
        <v/>
      </c>
      <c r="G195" s="30" t="n"/>
      <c r="H195" s="30" t="n"/>
      <c r="I195" s="64" t="n"/>
      <c r="J195" s="31" t="n"/>
    </row>
    <row r="196" ht="18" customHeight="1" s="90">
      <c r="A196" s="30" t="n"/>
      <c r="B196" s="29" t="n"/>
      <c r="C196" s="30" t="n"/>
      <c r="D196" s="12" t="n"/>
      <c r="E196" s="12" t="n"/>
      <c r="F196" s="13">
        <f>IFERROR(IF(AND(D196&lt;&gt;"",E196&lt;&gt;""),E196/D196,""),"")</f>
        <v/>
      </c>
      <c r="G196" s="30" t="n"/>
      <c r="H196" s="30" t="n"/>
      <c r="I196" s="64" t="n"/>
      <c r="J196" s="31" t="n"/>
    </row>
    <row r="197" ht="18" customHeight="1" s="90">
      <c r="A197" s="30" t="n"/>
      <c r="B197" s="29" t="n"/>
      <c r="C197" s="30" t="n"/>
      <c r="D197" s="12" t="n"/>
      <c r="E197" s="12" t="n"/>
      <c r="F197" s="13">
        <f>IFERROR(IF(AND(D197&lt;&gt;"",E197&lt;&gt;""),E197/D197,""),"")</f>
        <v/>
      </c>
      <c r="G197" s="30" t="n"/>
      <c r="H197" s="30" t="n"/>
      <c r="I197" s="64" t="n"/>
      <c r="J197" s="31" t="n"/>
    </row>
    <row r="198" ht="18" customHeight="1" s="90">
      <c r="A198" s="30" t="n"/>
      <c r="B198" s="29" t="n"/>
      <c r="C198" s="30" t="n"/>
      <c r="D198" s="12" t="n"/>
      <c r="E198" s="12" t="n"/>
      <c r="F198" s="13">
        <f>IFERROR(IF(AND(D198&lt;&gt;"",E198&lt;&gt;""),E198/D198,""),"")</f>
        <v/>
      </c>
      <c r="G198" s="30" t="n"/>
      <c r="H198" s="30" t="n"/>
      <c r="I198" s="64" t="n"/>
      <c r="J198" s="31" t="n"/>
    </row>
    <row r="199" ht="18" customHeight="1" s="90">
      <c r="A199" s="30" t="n"/>
      <c r="B199" s="29" t="n"/>
      <c r="C199" s="30" t="n"/>
      <c r="D199" s="12" t="n"/>
      <c r="E199" s="12" t="n"/>
      <c r="F199" s="13">
        <f>IFERROR(IF(AND(D199&lt;&gt;"",E199&lt;&gt;""),E199/D199,""),"")</f>
        <v/>
      </c>
      <c r="G199" s="30" t="n"/>
      <c r="H199" s="30" t="n"/>
      <c r="I199" s="64" t="n"/>
      <c r="J199" s="31" t="n"/>
    </row>
    <row r="200" ht="18" customHeight="1" s="90">
      <c r="A200" s="30" t="n"/>
      <c r="B200" s="29" t="n"/>
      <c r="C200" s="30" t="n"/>
      <c r="D200" s="12" t="n"/>
      <c r="E200" s="12" t="n"/>
      <c r="F200" s="13">
        <f>IFERROR(IF(AND(D200&lt;&gt;"",E200&lt;&gt;""),E200/D200,""),"")</f>
        <v/>
      </c>
      <c r="G200" s="30" t="n"/>
      <c r="H200" s="30" t="n"/>
      <c r="I200" s="64" t="n"/>
      <c r="J200" s="31" t="n"/>
    </row>
    <row r="201" ht="18" customHeight="1" s="90">
      <c r="A201" s="30" t="n"/>
      <c r="B201" s="29" t="n"/>
      <c r="C201" s="30" t="n"/>
      <c r="D201" s="12" t="n"/>
      <c r="E201" s="12" t="n"/>
      <c r="F201" s="13">
        <f>IFERROR(IF(AND(D201&lt;&gt;"",E201&lt;&gt;""),E201/D201,""),"")</f>
        <v/>
      </c>
      <c r="G201" s="30" t="n"/>
      <c r="H201" s="30" t="n"/>
      <c r="I201" s="64" t="n"/>
      <c r="J201" s="31" t="n"/>
    </row>
    <row r="202" ht="18" customHeight="1" s="90">
      <c r="A202" s="30" t="n"/>
      <c r="B202" s="29" t="n"/>
      <c r="C202" s="30" t="n"/>
      <c r="D202" s="12" t="n"/>
      <c r="E202" s="12" t="n"/>
      <c r="F202" s="13">
        <f>IFERROR(IF(AND(D202&lt;&gt;"",E202&lt;&gt;""),E202/D202,""),"")</f>
        <v/>
      </c>
      <c r="G202" s="30" t="n"/>
      <c r="H202" s="30" t="n"/>
      <c r="I202" s="64" t="n"/>
      <c r="J202" s="31" t="n"/>
    </row>
    <row r="203" ht="18" customHeight="1" s="90">
      <c r="A203" s="30" t="n"/>
      <c r="B203" s="29" t="n"/>
      <c r="C203" s="30" t="n"/>
      <c r="D203" s="12" t="n"/>
      <c r="E203" s="12" t="n"/>
      <c r="F203" s="13">
        <f>IFERROR(IF(AND(D203&lt;&gt;"",E203&lt;&gt;""),E203/D203,""),"")</f>
        <v/>
      </c>
      <c r="G203" s="30" t="n"/>
      <c r="H203" s="30" t="n"/>
      <c r="I203" s="64" t="n"/>
      <c r="J203" s="31" t="n"/>
    </row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  <row r="1001" ht="15.75" customHeight="1" s="90"/>
  </sheetData>
  <mergeCells count="1">
    <mergeCell ref="A1:J1"/>
  </mergeCells>
  <dataValidations count="3">
    <dataValidation sqref="C3:C203" showDropDown="0" showInputMessage="0" showErrorMessage="0" allowBlank="1" type="list">
      <formula1>"Vestiaire Collective,Grailed,eBay,Poshmark,The RealReal,Depop,Other,Mercari,Vinted"</formula1>
    </dataValidation>
    <dataValidation sqref="B3:B203" showDropDown="0" showInputMessage="0" showErrorMessage="0" allowBlank="1" type="list">
      <formula1>"Manteco,Control"</formula1>
    </dataValidation>
    <dataValidation sqref="H3:H203" showDropDown="0" showInputMessage="0" showErrorMessage="0" allowBlank="1" type="list">
      <formula1>"Excellent,Very Good,Good,Fair"</formula1>
    </dataValidation>
  </dataValidations>
  <hyperlinks>
    <hyperlink xmlns:r="http://schemas.openxmlformats.org/officeDocument/2006/relationships" ref="J7" r:id="rId1"/>
    <hyperlink xmlns:r="http://schemas.openxmlformats.org/officeDocument/2006/relationships" ref="J9" r:id="rId2"/>
    <hyperlink xmlns:r="http://schemas.openxmlformats.org/officeDocument/2006/relationships" ref="J10" r:id="rId3"/>
    <hyperlink xmlns:r="http://schemas.openxmlformats.org/officeDocument/2006/relationships" ref="J11" r:id="rId4"/>
    <hyperlink xmlns:r="http://schemas.openxmlformats.org/officeDocument/2006/relationships" ref="J12" r:id="rId5"/>
    <hyperlink xmlns:r="http://schemas.openxmlformats.org/officeDocument/2006/relationships" ref="J13" r:id="rId6"/>
    <hyperlink xmlns:r="http://schemas.openxmlformats.org/officeDocument/2006/relationships" ref="J14" r:id="rId7"/>
    <hyperlink xmlns:r="http://schemas.openxmlformats.org/officeDocument/2006/relationships" ref="J23" r:id="rId8"/>
    <hyperlink xmlns:r="http://schemas.openxmlformats.org/officeDocument/2006/relationships" ref="J24" r:id="rId9"/>
    <hyperlink xmlns:r="http://schemas.openxmlformats.org/officeDocument/2006/relationships" ref="J27" r:id="rId10"/>
    <hyperlink xmlns:r="http://schemas.openxmlformats.org/officeDocument/2006/relationships" ref="J30" r:id="rId11"/>
  </hyperlink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1C1B18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90" min="1" max="1"/>
    <col width="20" customWidth="1" style="90" min="2" max="3"/>
    <col width="14" customWidth="1" style="90" min="4" max="7"/>
    <col width="8.710000000000001" customWidth="1" style="90" min="8" max="26"/>
  </cols>
  <sheetData>
    <row r="1" ht="39.75" customHeight="1" s="90">
      <c r="A1" s="94" t="inlineStr">
        <is>
          <t>MANTECO PRICE RESILIENCE — Research Summary</t>
        </is>
      </c>
    </row>
    <row r="2" ht="19.5" customHeight="1" s="90">
      <c r="A2" s="95" t="inlineStr">
        <is>
          <t>Baruch College &amp; Free University of Bozen-Bolzano  ·  March 2026</t>
        </is>
      </c>
    </row>
    <row r="3" ht="7.5" customHeight="1" s="90"/>
    <row r="4" ht="43.5" customHeight="1" s="90">
      <c r="A4" s="96" t="inlineStr">
        <is>
          <t>"Garments incorporating Manteco fabrics demonstrate stronger price resilience across their lifecycle than comparable garments without the Manteco label.  Benchmark: ≥10% differential."</t>
        </is>
      </c>
    </row>
    <row r="5" ht="7.5" customHeight="1" s="90"/>
    <row r="6" ht="33.75" customHeight="1" s="90">
      <c r="B6" s="4" t="inlineStr">
        <is>
          <t>Products
in Library</t>
        </is>
      </c>
      <c r="C6" s="4" t="inlineStr">
        <is>
          <t>Pairs
Matched</t>
        </is>
      </c>
      <c r="D6" s="4" t="inlineStr">
        <is>
          <t>Avg Retail
Premium</t>
        </is>
      </c>
      <c r="E6" s="4" t="inlineStr">
        <is>
          <t>Avg MD
Delta</t>
        </is>
      </c>
      <c r="F6" s="4" t="inlineStr">
        <is>
          <t>Pairs
≥10%</t>
        </is>
      </c>
      <c r="G6" s="4" t="inlineStr">
        <is>
          <t>Data
Completeness</t>
        </is>
      </c>
    </row>
    <row r="7" ht="43.5" customHeight="1" s="90">
      <c r="B7" s="78">
        <f>COUNTA(Products!C3:C101)</f>
        <v/>
      </c>
      <c r="C7" s="78">
        <f>COUNTA('Matched Pairs'!B3:B52)</f>
        <v/>
      </c>
      <c r="D7" s="79">
        <f>IFERROR(AVERAGEIF('Matched Pairs'!K3:K52,"&lt;&gt;"),"—")</f>
        <v/>
      </c>
      <c r="E7" s="79">
        <f>IFERROR(AVERAGEIF(Markdown!I3:I52,"&lt;&gt;"),"—")</f>
        <v/>
      </c>
      <c r="F7" s="78">
        <f>COUNTIF('Matched Pairs'!K3:K52,"&gt;="&amp;0.1)</f>
        <v/>
      </c>
      <c r="G7" s="79">
        <f>IFERROR(COUNTIF('Matched Pairs'!K3:K52,"&lt;&gt;")/COUNTA('Matched Pairs'!B3:B52),"—")</f>
        <v/>
      </c>
    </row>
    <row r="8" ht="7.5" customHeight="1" s="90"/>
    <row r="9" ht="30" customHeight="1" s="90">
      <c r="B9" s="97">
        <f>IF(D7="—","⏳  Pending — add more data","" &amp; IF(ISNUMBER(D7),IF(D7&gt;=0.1,"✓  SUPPORTED — "&amp;TEXT(D7,"0.0%")&amp;" avg premium exceeds 10% benchmark","✗  BELOW THRESHOLD — "&amp;TEXT(D7,"0.0%")&amp;" avg premium"),"⏳  Pending"))</f>
        <v/>
      </c>
      <c r="C9" s="98" t="n"/>
      <c r="D9" s="98" t="n"/>
      <c r="E9" s="98" t="n"/>
      <c r="F9" s="98" t="n"/>
      <c r="G9" s="98" t="n"/>
    </row>
    <row r="10" ht="12" customHeight="1" s="90"/>
    <row r="11" ht="21.75" customHeight="1" s="90">
      <c r="B11" s="99" t="inlineStr">
        <is>
          <t>LIFECYCLE STAGE RESULTS</t>
        </is>
      </c>
      <c r="C11" s="98" t="n"/>
      <c r="D11" s="98" t="n"/>
      <c r="E11" s="98" t="n"/>
      <c r="F11" s="98" t="n"/>
      <c r="G11" s="98" t="n"/>
    </row>
    <row r="12" ht="21.75" customHeight="1" s="90">
      <c r="B12" s="100" t="inlineStr">
        <is>
          <t>Stage 2 — Market Entry</t>
        </is>
      </c>
      <c r="C12" s="101" t="n"/>
      <c r="D12" s="102" t="inlineStr">
        <is>
          <t>Retail Premium %</t>
        </is>
      </c>
      <c r="E12" s="101" t="n"/>
      <c r="F12" s="103">
        <f>IFERROR(AVERAGEIF('Matched Pairs'!K3:K52,"&lt;&gt;"),"—")</f>
        <v/>
      </c>
      <c r="G12" s="101" t="n"/>
    </row>
    <row r="13" ht="21.75" customHeight="1" s="90">
      <c r="B13" s="100" t="inlineStr">
        <is>
          <t>Stage 3 — Markdown Depth</t>
        </is>
      </c>
      <c r="C13" s="101" t="n"/>
      <c r="D13" s="102" t="inlineStr">
        <is>
          <t>MD Differential (pp)</t>
        </is>
      </c>
      <c r="E13" s="101" t="n"/>
      <c r="F13" s="103">
        <f>IFERROR(AVERAGEIF(Markdown!I3:I52,"&lt;&gt;"),"—")</f>
        <v/>
      </c>
      <c r="G13" s="101" t="n"/>
    </row>
    <row r="14" ht="21.75" customHeight="1" s="90">
      <c r="B14" s="100" t="inlineStr">
        <is>
          <t>Stage 4 — Secondary Market</t>
        </is>
      </c>
      <c r="C14" s="101" t="n"/>
      <c r="D14" s="102" t="inlineStr">
        <is>
          <t>Avg Residual %</t>
        </is>
      </c>
      <c r="E14" s="101" t="n"/>
      <c r="F14" s="103">
        <f>IFERROR(AVERAGEIF(Resale!F3:F203,"&lt;&gt;"),"—")</f>
        <v/>
      </c>
      <c r="G14" s="101" t="n"/>
    </row>
    <row r="15" ht="12" customHeight="1" s="90"/>
    <row r="16" ht="19.5" customHeight="1" s="90">
      <c r="B16" s="104" t="inlineStr">
        <is>
          <t>HOW TO USE THIS WORKBOOK</t>
        </is>
      </c>
      <c r="C16" s="98" t="n"/>
      <c r="D16" s="98" t="n"/>
      <c r="E16" s="98" t="n"/>
      <c r="F16" s="98" t="n"/>
      <c r="G16" s="98" t="n"/>
    </row>
    <row r="17">
      <c r="B17" s="105" t="inlineStr">
        <is>
          <t>1  Products</t>
        </is>
      </c>
      <c r="C17" s="101" t="n"/>
      <c r="D17" s="102" t="inlineStr">
        <is>
          <t>Enter every product (Manteco or Control). Use the Type dropdown. Blue = your input, grey = auto-calc.</t>
        </is>
      </c>
      <c r="E17" s="98" t="n"/>
      <c r="F17" s="98" t="n"/>
      <c r="G17" s="101" t="n"/>
    </row>
    <row r="18">
      <c r="B18" s="105" t="inlineStr">
        <is>
          <t>2  Matched Pairs</t>
        </is>
      </c>
      <c r="C18" s="101" t="n"/>
      <c r="D18" s="102" t="inlineStr">
        <is>
          <t>Enter brand + tier. Type the Manteco Product ID and Control Product ID. Retail prices pull automatically.</t>
        </is>
      </c>
      <c r="E18" s="98" t="n"/>
      <c r="F18" s="98" t="n"/>
      <c r="G18" s="101" t="n"/>
    </row>
    <row r="19">
      <c r="B19" s="105" t="inlineStr">
        <is>
          <t>3  Markdown</t>
        </is>
      </c>
      <c r="C19" s="101" t="n"/>
      <c r="D19" s="102" t="inlineStr">
        <is>
          <t>When items go on sale, enter sale prices in columns D and G. Markdown % and delta calculate automatically.</t>
        </is>
      </c>
      <c r="E19" s="98" t="n"/>
      <c r="F19" s="98" t="n"/>
      <c r="G19" s="101" t="n"/>
    </row>
    <row r="20">
      <c r="B20" s="105" t="inlineStr">
        <is>
          <t>4  Resale</t>
        </is>
      </c>
      <c r="C20" s="101" t="n"/>
      <c r="D20" s="102" t="inlineStr">
        <is>
          <t>Log each resale listing you find. Enter pair ID, side, platform, original retail, and resale price.</t>
        </is>
      </c>
      <c r="E20" s="98" t="n"/>
      <c r="F20" s="98" t="n"/>
      <c r="G20" s="101" t="n"/>
    </row>
    <row r="21" ht="19.5" customHeight="1" s="90">
      <c r="B21" s="105" t="inlineStr">
        <is>
          <t>5  This tab</t>
        </is>
      </c>
      <c r="C21" s="101" t="n"/>
      <c r="D21" s="102" t="inlineStr">
        <is>
          <t>All KPIs update live. The verdict bar will turn green once average premium reaches 10%.</t>
        </is>
      </c>
      <c r="E21" s="98" t="n"/>
      <c r="F21" s="98" t="n"/>
      <c r="G21" s="101" t="n"/>
    </row>
    <row r="22" ht="15.75" customHeight="1" s="90"/>
    <row r="23" ht="15.75" customHeight="1" s="90"/>
    <row r="24" ht="15.75" customHeight="1" s="90"/>
    <row r="25" ht="15.75" customHeight="1" s="90"/>
    <row r="26" ht="15.75" customHeight="1" s="90"/>
    <row r="27" ht="15.75" customHeight="1" s="90"/>
    <row r="28" ht="15.75" customHeight="1" s="90"/>
    <row r="29" ht="15.75" customHeight="1" s="90"/>
    <row r="30" ht="15.75" customHeight="1" s="90"/>
    <row r="31" ht="15.75" customHeight="1" s="90"/>
    <row r="32" ht="15.75" customHeight="1" s="90"/>
    <row r="33" ht="15.75" customHeight="1" s="90"/>
    <row r="34" ht="15.75" customHeight="1" s="90"/>
    <row r="35" ht="15.75" customHeight="1" s="90"/>
    <row r="36" ht="15.75" customHeight="1" s="90"/>
    <row r="37" ht="15.75" customHeight="1" s="90"/>
    <row r="38" ht="15.75" customHeight="1" s="90"/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25">
    <mergeCell ref="D18:G18"/>
    <mergeCell ref="A4:G4"/>
    <mergeCell ref="B18:C18"/>
    <mergeCell ref="B12:C12"/>
    <mergeCell ref="B21:C21"/>
    <mergeCell ref="F12:G12"/>
    <mergeCell ref="D13:E13"/>
    <mergeCell ref="D20:G20"/>
    <mergeCell ref="B9:G9"/>
    <mergeCell ref="B14:C14"/>
    <mergeCell ref="D19:G19"/>
    <mergeCell ref="B17:C17"/>
    <mergeCell ref="B13:C13"/>
    <mergeCell ref="A1:G1"/>
    <mergeCell ref="B19:C19"/>
    <mergeCell ref="D21:G21"/>
    <mergeCell ref="F13:G13"/>
    <mergeCell ref="D12:E12"/>
    <mergeCell ref="B16:G16"/>
    <mergeCell ref="D17:G17"/>
    <mergeCell ref="B20:C20"/>
    <mergeCell ref="D14:E14"/>
    <mergeCell ref="A2:G2"/>
    <mergeCell ref="F14:G14"/>
    <mergeCell ref="B11:G1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2026-03-20T14:56:26Z</dcterms:created>
  <dcterms:modified xmlns:dcterms="http://purl.org/dc/terms/" xmlns:xsi="http://www.w3.org/2001/XMLSchema-instance" xsi:type="dcterms:W3CDTF">2026-05-21T00:27:26Z</dcterms:modified>
</cp:coreProperties>
</file>